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kas\OneDrive\Desktop\FP projets\"/>
    </mc:Choice>
  </mc:AlternateContent>
  <xr:revisionPtr revIDLastSave="0" documentId="8_{F1D6D02E-822F-44A7-95F5-D81CF8B542D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ata Sheet" sheetId="6" r:id="rId1"/>
    <sheet name="INCOME STATEMENT" sheetId="10" r:id="rId2"/>
    <sheet name="Quarters" sheetId="3" r:id="rId3"/>
    <sheet name="Balance Sheet" sheetId="2" r:id="rId4"/>
    <sheet name="Cash Flow Statement" sheetId="4" r:id="rId5"/>
    <sheet name="Assumptions" sheetId="7" r:id="rId6"/>
    <sheet name="DCF MODEL" sheetId="8" r:id="rId7"/>
    <sheet name="Valuation" sheetId="9" r:id="rId8"/>
  </sheets>
  <definedNames>
    <definedName name="UPDATE">'Data Sheet'!#REF!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I4" i="2"/>
  <c r="J4" i="2"/>
  <c r="K4" i="2"/>
  <c r="F21" i="2" l="1"/>
  <c r="K21" i="2"/>
  <c r="C18" i="10"/>
  <c r="D18" i="10"/>
  <c r="E18" i="10"/>
  <c r="F18" i="10"/>
  <c r="G18" i="10"/>
  <c r="H18" i="10"/>
  <c r="I18" i="10"/>
  <c r="J18" i="10"/>
  <c r="K18" i="10"/>
  <c r="B18" i="10"/>
  <c r="L17" i="10"/>
  <c r="C17" i="10"/>
  <c r="D17" i="10"/>
  <c r="E17" i="10"/>
  <c r="F17" i="10"/>
  <c r="G17" i="10"/>
  <c r="H17" i="10"/>
  <c r="I17" i="10"/>
  <c r="J17" i="10"/>
  <c r="K17" i="10"/>
  <c r="B17" i="10"/>
  <c r="C11" i="10"/>
  <c r="D11" i="10"/>
  <c r="E11" i="10"/>
  <c r="F11" i="10"/>
  <c r="G11" i="10"/>
  <c r="H11" i="10"/>
  <c r="I11" i="10"/>
  <c r="J11" i="10"/>
  <c r="K11" i="10"/>
  <c r="C12" i="10"/>
  <c r="D12" i="10"/>
  <c r="E12" i="10"/>
  <c r="F12" i="10"/>
  <c r="G12" i="10"/>
  <c r="H12" i="10"/>
  <c r="I12" i="10"/>
  <c r="J12" i="10"/>
  <c r="K12" i="10"/>
  <c r="C13" i="10"/>
  <c r="D13" i="10"/>
  <c r="E13" i="10"/>
  <c r="F13" i="10"/>
  <c r="G13" i="10"/>
  <c r="H13" i="10"/>
  <c r="I13" i="10"/>
  <c r="J13" i="10"/>
  <c r="K13" i="10"/>
  <c r="C14" i="10"/>
  <c r="C15" i="10" s="1"/>
  <c r="D14" i="10"/>
  <c r="D15" i="10" s="1"/>
  <c r="E14" i="10"/>
  <c r="E15" i="10" s="1"/>
  <c r="F14" i="10"/>
  <c r="F15" i="10" s="1"/>
  <c r="G14" i="10"/>
  <c r="G15" i="10" s="1"/>
  <c r="G16" i="10" s="1"/>
  <c r="H14" i="10"/>
  <c r="H15" i="10" s="1"/>
  <c r="H16" i="10" s="1"/>
  <c r="I14" i="10"/>
  <c r="I15" i="10" s="1"/>
  <c r="J14" i="10"/>
  <c r="J15" i="10" s="1"/>
  <c r="K14" i="10"/>
  <c r="K15" i="10" s="1"/>
  <c r="B13" i="10"/>
  <c r="B14" i="10"/>
  <c r="B15" i="10" s="1"/>
  <c r="B12" i="10"/>
  <c r="B11" i="10"/>
  <c r="C9" i="10"/>
  <c r="D9" i="10"/>
  <c r="E9" i="10"/>
  <c r="F9" i="10"/>
  <c r="G9" i="10"/>
  <c r="H9" i="10"/>
  <c r="I9" i="10"/>
  <c r="J9" i="10"/>
  <c r="K9" i="10"/>
  <c r="B9" i="10"/>
  <c r="C8" i="10"/>
  <c r="D8" i="10"/>
  <c r="E8" i="10"/>
  <c r="F8" i="10"/>
  <c r="G8" i="10"/>
  <c r="H8" i="10"/>
  <c r="I8" i="10"/>
  <c r="J8" i="10"/>
  <c r="K8" i="10"/>
  <c r="B8" i="10"/>
  <c r="C6" i="10"/>
  <c r="D6" i="10"/>
  <c r="E6" i="10"/>
  <c r="F6" i="10"/>
  <c r="G6" i="10"/>
  <c r="H6" i="10"/>
  <c r="I6" i="10"/>
  <c r="J6" i="10"/>
  <c r="K6" i="10"/>
  <c r="B6" i="10"/>
  <c r="C5" i="10"/>
  <c r="D5" i="10"/>
  <c r="E5" i="10"/>
  <c r="F5" i="10"/>
  <c r="G5" i="10"/>
  <c r="H5" i="10"/>
  <c r="I5" i="10"/>
  <c r="J5" i="10"/>
  <c r="K5" i="10"/>
  <c r="K26" i="10" s="1"/>
  <c r="B5" i="10"/>
  <c r="C9" i="9"/>
  <c r="C8" i="9"/>
  <c r="C11" i="9"/>
  <c r="C6" i="8"/>
  <c r="C7" i="8" s="1"/>
  <c r="C5" i="8"/>
  <c r="C14" i="7"/>
  <c r="C11" i="7"/>
  <c r="C8" i="7"/>
  <c r="C7" i="3"/>
  <c r="D7" i="3"/>
  <c r="E7" i="3"/>
  <c r="F7" i="3"/>
  <c r="G7" i="3"/>
  <c r="H7" i="3"/>
  <c r="I7" i="3"/>
  <c r="J7" i="3"/>
  <c r="K7" i="3"/>
  <c r="L7" i="10" s="1"/>
  <c r="B7" i="3"/>
  <c r="B4" i="6"/>
  <c r="C18" i="2"/>
  <c r="C21" i="2" s="1"/>
  <c r="D18" i="2"/>
  <c r="D21" i="2" s="1"/>
  <c r="E18" i="2"/>
  <c r="E21" i="2" s="1"/>
  <c r="F18" i="2"/>
  <c r="G18" i="2"/>
  <c r="G21" i="2" s="1"/>
  <c r="H18" i="2"/>
  <c r="H21" i="2" s="1"/>
  <c r="I18" i="2"/>
  <c r="I21" i="2" s="1"/>
  <c r="J18" i="2"/>
  <c r="J21" i="2" s="1"/>
  <c r="K18" i="2"/>
  <c r="C19" i="2"/>
  <c r="C22" i="2" s="1"/>
  <c r="D19" i="2"/>
  <c r="D22" i="2" s="1"/>
  <c r="E19" i="2"/>
  <c r="E22" i="2" s="1"/>
  <c r="F19" i="2"/>
  <c r="F22" i="2" s="1"/>
  <c r="G19" i="2"/>
  <c r="G22" i="2" s="1"/>
  <c r="H19" i="2"/>
  <c r="H22" i="2" s="1"/>
  <c r="I19" i="2"/>
  <c r="I22" i="2" s="1"/>
  <c r="J19" i="2"/>
  <c r="J22" i="2" s="1"/>
  <c r="K19" i="2"/>
  <c r="K22" i="2" s="1"/>
  <c r="B18" i="2"/>
  <c r="B21" i="2" s="1"/>
  <c r="C5" i="2"/>
  <c r="D5" i="2"/>
  <c r="E5" i="2"/>
  <c r="E6" i="2"/>
  <c r="F5" i="2"/>
  <c r="G5" i="2"/>
  <c r="H5" i="2"/>
  <c r="I5" i="2"/>
  <c r="I6" i="2"/>
  <c r="J5" i="2"/>
  <c r="J6" i="2"/>
  <c r="K5" i="2"/>
  <c r="C6" i="2"/>
  <c r="D6" i="2"/>
  <c r="F6" i="2"/>
  <c r="G6" i="2"/>
  <c r="H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C15" i="2"/>
  <c r="D15" i="2"/>
  <c r="E15" i="2"/>
  <c r="F15" i="2"/>
  <c r="G15" i="2"/>
  <c r="H15" i="2"/>
  <c r="I15" i="2"/>
  <c r="J15" i="2"/>
  <c r="K15" i="2"/>
  <c r="B15" i="2"/>
  <c r="B6" i="2"/>
  <c r="B5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5" i="3"/>
  <c r="D5" i="3"/>
  <c r="E5" i="3"/>
  <c r="F5" i="3"/>
  <c r="G5" i="3"/>
  <c r="G15" i="3" s="1"/>
  <c r="H5" i="3"/>
  <c r="H15" i="3" s="1"/>
  <c r="I5" i="3"/>
  <c r="J5" i="3"/>
  <c r="K5" i="3"/>
  <c r="C6" i="3"/>
  <c r="D6" i="3"/>
  <c r="E6" i="3"/>
  <c r="F6" i="3"/>
  <c r="G6" i="3"/>
  <c r="H6" i="3"/>
  <c r="I6" i="3"/>
  <c r="J6" i="3"/>
  <c r="K6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M9" i="10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C13" i="3"/>
  <c r="D13" i="3"/>
  <c r="E13" i="3"/>
  <c r="F13" i="3"/>
  <c r="G13" i="3"/>
  <c r="H13" i="3"/>
  <c r="I13" i="3"/>
  <c r="J13" i="3"/>
  <c r="K13" i="3"/>
  <c r="B6" i="3"/>
  <c r="C3" i="4"/>
  <c r="D3" i="4"/>
  <c r="E3" i="4"/>
  <c r="F3" i="4"/>
  <c r="G3" i="4"/>
  <c r="H3" i="4"/>
  <c r="I3" i="4"/>
  <c r="J3" i="4"/>
  <c r="K3" i="4"/>
  <c r="C4" i="2"/>
  <c r="D4" i="2"/>
  <c r="C4" i="3"/>
  <c r="D4" i="3"/>
  <c r="E4" i="3"/>
  <c r="F4" i="3"/>
  <c r="G4" i="3"/>
  <c r="H4" i="3"/>
  <c r="I4" i="3"/>
  <c r="J4" i="3"/>
  <c r="K4" i="3"/>
  <c r="B7" i="4"/>
  <c r="B6" i="4"/>
  <c r="B5" i="4"/>
  <c r="B4" i="4"/>
  <c r="B3" i="4"/>
  <c r="B19" i="2"/>
  <c r="B22" i="2" s="1"/>
  <c r="B14" i="2"/>
  <c r="B13" i="2"/>
  <c r="B12" i="2"/>
  <c r="B11" i="2"/>
  <c r="B9" i="2"/>
  <c r="B8" i="2"/>
  <c r="B7" i="2"/>
  <c r="B4" i="2"/>
  <c r="B13" i="3"/>
  <c r="B12" i="3"/>
  <c r="B11" i="3"/>
  <c r="B10" i="3"/>
  <c r="B9" i="3"/>
  <c r="B8" i="3"/>
  <c r="B5" i="3"/>
  <c r="B4" i="3"/>
  <c r="K24" i="2" l="1"/>
  <c r="B24" i="2"/>
  <c r="C25" i="2"/>
  <c r="J25" i="2"/>
  <c r="I24" i="2"/>
  <c r="J24" i="2"/>
  <c r="K25" i="2"/>
  <c r="I25" i="2"/>
  <c r="H24" i="2"/>
  <c r="H25" i="2"/>
  <c r="G24" i="2"/>
  <c r="F24" i="2"/>
  <c r="G25" i="2"/>
  <c r="E24" i="2"/>
  <c r="F25" i="2"/>
  <c r="D17" i="2"/>
  <c r="D24" i="2"/>
  <c r="E25" i="2"/>
  <c r="C24" i="2"/>
  <c r="D25" i="2"/>
  <c r="B21" i="10"/>
  <c r="J21" i="10"/>
  <c r="H21" i="10"/>
  <c r="G21" i="10"/>
  <c r="E21" i="10"/>
  <c r="L8" i="10"/>
  <c r="B15" i="3"/>
  <c r="L14" i="10"/>
  <c r="L15" i="10" s="1"/>
  <c r="L16" i="10" s="1"/>
  <c r="L28" i="10" s="1"/>
  <c r="L6" i="10"/>
  <c r="L12" i="10"/>
  <c r="L13" i="10"/>
  <c r="K15" i="3"/>
  <c r="L5" i="10"/>
  <c r="L22" i="10" s="1"/>
  <c r="L27" i="10" s="1"/>
  <c r="J16" i="10"/>
  <c r="L11" i="10"/>
  <c r="L10" i="10" s="1"/>
  <c r="D21" i="10"/>
  <c r="B17" i="2"/>
  <c r="C21" i="10"/>
  <c r="K21" i="10"/>
  <c r="I15" i="3"/>
  <c r="D10" i="10"/>
  <c r="N9" i="10"/>
  <c r="C7" i="10"/>
  <c r="C22" i="10" s="1"/>
  <c r="L9" i="10"/>
  <c r="I21" i="10"/>
  <c r="K16" i="10"/>
  <c r="L26" i="10"/>
  <c r="M26" i="10" s="1"/>
  <c r="M5" i="10" s="1"/>
  <c r="F21" i="10"/>
  <c r="H26" i="10"/>
  <c r="J26" i="10"/>
  <c r="I26" i="10"/>
  <c r="B16" i="10"/>
  <c r="C10" i="10"/>
  <c r="K10" i="10"/>
  <c r="K7" i="10"/>
  <c r="J7" i="10"/>
  <c r="J22" i="10" s="1"/>
  <c r="I7" i="10"/>
  <c r="I22" i="10" s="1"/>
  <c r="J10" i="10"/>
  <c r="I16" i="10"/>
  <c r="H7" i="10"/>
  <c r="H22" i="10" s="1"/>
  <c r="F7" i="10"/>
  <c r="F22" i="10" s="1"/>
  <c r="G7" i="10"/>
  <c r="G22" i="10" s="1"/>
  <c r="F16" i="10"/>
  <c r="E7" i="10"/>
  <c r="E22" i="10" s="1"/>
  <c r="E16" i="10"/>
  <c r="D16" i="10"/>
  <c r="D7" i="10"/>
  <c r="D22" i="10" s="1"/>
  <c r="C16" i="10"/>
  <c r="I10" i="10"/>
  <c r="B10" i="10"/>
  <c r="H10" i="10"/>
  <c r="F10" i="10"/>
  <c r="B7" i="10"/>
  <c r="B22" i="10" s="1"/>
  <c r="E10" i="10"/>
  <c r="G10" i="10"/>
  <c r="J15" i="3"/>
  <c r="K17" i="2"/>
  <c r="H17" i="2"/>
  <c r="J17" i="2"/>
  <c r="G17" i="2"/>
  <c r="E15" i="3"/>
  <c r="F17" i="2"/>
  <c r="E17" i="2"/>
  <c r="A1" i="4"/>
  <c r="C17" i="2"/>
  <c r="F15" i="3"/>
  <c r="D5" i="8"/>
  <c r="E5" i="8" s="1"/>
  <c r="F5" i="8" s="1"/>
  <c r="C8" i="8"/>
  <c r="C10" i="8" s="1"/>
  <c r="D15" i="3"/>
  <c r="C15" i="3"/>
  <c r="I17" i="2"/>
  <c r="K28" i="10" l="1"/>
  <c r="K22" i="10"/>
  <c r="I27" i="10" s="1"/>
  <c r="H28" i="10"/>
  <c r="I28" i="10"/>
  <c r="J28" i="10"/>
  <c r="N26" i="10"/>
  <c r="N5" i="10" s="1"/>
  <c r="M28" i="10"/>
  <c r="M16" i="10" s="1"/>
  <c r="E6" i="8"/>
  <c r="D6" i="8"/>
  <c r="D7" i="8" s="1"/>
  <c r="F6" i="8"/>
  <c r="F7" i="8" s="1"/>
  <c r="G5" i="8"/>
  <c r="C11" i="8"/>
  <c r="C13" i="8" s="1"/>
  <c r="N28" i="10" l="1"/>
  <c r="N16" i="10" s="1"/>
  <c r="K27" i="10"/>
  <c r="M27" i="10" s="1"/>
  <c r="M7" i="10" s="1"/>
  <c r="H27" i="10"/>
  <c r="J27" i="10"/>
  <c r="E7" i="8"/>
  <c r="E8" i="8" s="1"/>
  <c r="D8" i="8"/>
  <c r="F8" i="8"/>
  <c r="F10" i="8" s="1"/>
  <c r="G6" i="8"/>
  <c r="G7" i="8" s="1"/>
  <c r="H5" i="8"/>
  <c r="H6" i="8" s="1"/>
  <c r="H7" i="8" s="1"/>
  <c r="N27" i="10" l="1"/>
  <c r="N7" i="10" s="1"/>
  <c r="N12" i="10" s="1"/>
  <c r="N10" i="10" s="1"/>
  <c r="M12" i="10"/>
  <c r="M6" i="10"/>
  <c r="E10" i="8"/>
  <c r="E11" i="8" s="1"/>
  <c r="E13" i="8" s="1"/>
  <c r="D10" i="8"/>
  <c r="D11" i="8" s="1"/>
  <c r="D13" i="8" s="1"/>
  <c r="H8" i="8"/>
  <c r="H10" i="8" s="1"/>
  <c r="G8" i="8"/>
  <c r="G10" i="8" s="1"/>
  <c r="F11" i="8"/>
  <c r="F13" i="8" s="1"/>
  <c r="N13" i="10" l="1"/>
  <c r="N14" i="10" s="1"/>
  <c r="N15" i="10" s="1"/>
  <c r="N17" i="10" s="1"/>
  <c r="N6" i="10"/>
  <c r="M10" i="10"/>
  <c r="M13" i="10"/>
  <c r="M14" i="10" s="1"/>
  <c r="M15" i="10" s="1"/>
  <c r="M17" i="10" s="1"/>
  <c r="G11" i="8"/>
  <c r="G13" i="8" s="1"/>
  <c r="H11" i="8"/>
  <c r="H13" i="8" s="1"/>
  <c r="C5" i="9" l="1"/>
  <c r="C6" i="9" s="1"/>
  <c r="C4" i="9"/>
  <c r="C7" i="9" l="1"/>
  <c r="C10" i="9" s="1"/>
  <c r="C12" i="9" s="1"/>
  <c r="D19" i="9" s="1"/>
</calcChain>
</file>

<file path=xl/sharedStrings.xml><?xml version="1.0" encoding="utf-8"?>
<sst xmlns="http://schemas.openxmlformats.org/spreadsheetml/2006/main" count="185" uniqueCount="129">
  <si>
    <t>Narration</t>
  </si>
  <si>
    <t>Trailing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</si>
  <si>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</si>
  <si>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</si>
  <si>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</si>
  <si>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</si>
  <si>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</si>
  <si>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</si>
  <si>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</si>
  <si>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</si>
  <si>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</si>
  <si>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Dividend Payout</t>
  </si>
  <si>
    <t>OPM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</si>
  <si>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</si>
  <si>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</si>
  <si>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</si>
  <si>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</si>
  <si>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</si>
  <si>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</si>
  <si>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</si>
  <si>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</si>
  <si>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</si>
  <si>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</si>
  <si>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</si>
  <si>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</si>
  <si>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</si>
  <si>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</si>
  <si>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</si>
  <si>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</si>
  <si>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</si>
  <si>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</si>
  <si>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</si>
  <si>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</si>
  <si>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</si>
  <si>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</si>
  <si>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</si>
  <si>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</si>
  <si>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</si>
  <si>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Return on Equity</t>
  </si>
  <si>
    <t>Return on Capital Emp</t>
  </si>
  <si>
    <t>DEEPAK NITRITE LTD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</si>
  <si>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</si>
  <si>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</si>
  <si>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</si>
  <si>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</si>
  <si>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</si>
  <si>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</si>
  <si>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</si>
  <si>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</si>
  <si>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</si>
  <si>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</si>
  <si>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</si>
  <si>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</si>
  <si>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</si>
  <si>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</si>
  <si>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</si>
  <si>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</si>
  <si>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</si>
  <si>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</si>
  <si>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</si>
  <si>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</si>
  <si>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Contents</t>
  </si>
  <si>
    <t>Value (Input)</t>
  </si>
  <si>
    <t>Note</t>
  </si>
  <si>
    <t>MACRO INPUTS</t>
  </si>
  <si>
    <t>Risk Free Rate</t>
  </si>
  <si>
    <t>Market Risk Premium</t>
  </si>
  <si>
    <t>Beta</t>
  </si>
  <si>
    <t>Cost of Equity (Ke)</t>
  </si>
  <si>
    <t>Cost of Debt (Pre-Tax)</t>
  </si>
  <si>
    <t>Tax Rate</t>
  </si>
  <si>
    <t>WACC</t>
  </si>
  <si>
    <t>OPERATING INPUTS</t>
  </si>
  <si>
    <t>Revenue Growth (Forecast)</t>
  </si>
  <si>
    <t>Assumption</t>
  </si>
  <si>
    <t>Terminal Growth Rate</t>
  </si>
  <si>
    <t>EBIT Margin (Forecast)</t>
  </si>
  <si>
    <t>CASH FLOW FORECASTING</t>
  </si>
  <si>
    <t>*In Crore Rupees</t>
  </si>
  <si>
    <t>Year</t>
  </si>
  <si>
    <t>Revenue</t>
  </si>
  <si>
    <t>EBIT</t>
  </si>
  <si>
    <t>Tax(@25%)</t>
  </si>
  <si>
    <t>NOPAT</t>
  </si>
  <si>
    <t>Reinvestment
(40% assumed)</t>
  </si>
  <si>
    <t>FCFF</t>
  </si>
  <si>
    <t>DCF</t>
  </si>
  <si>
    <t>VALUATION</t>
  </si>
  <si>
    <t>Sum of PV</t>
  </si>
  <si>
    <t>Terminal Value(TV)</t>
  </si>
  <si>
    <t>PV of TV</t>
  </si>
  <si>
    <t>Enterprise Value</t>
  </si>
  <si>
    <t>Debt</t>
  </si>
  <si>
    <t>Cash</t>
  </si>
  <si>
    <t>Growth</t>
  </si>
  <si>
    <t>Equity Value</t>
  </si>
  <si>
    <t>Share outstanding</t>
  </si>
  <si>
    <t>Target Price</t>
  </si>
  <si>
    <t>SENSTIVITY OF SHARE PRICE FOR DIFFERENT RISK RATES</t>
  </si>
  <si>
    <t>YEARS</t>
  </si>
  <si>
    <t>Best</t>
  </si>
  <si>
    <t>Worst</t>
  </si>
  <si>
    <t>Expense</t>
  </si>
  <si>
    <t>Op. Profit</t>
  </si>
  <si>
    <t>Market Price(Rs.)</t>
  </si>
  <si>
    <t>PE Ratio</t>
  </si>
  <si>
    <t>RATIOS</t>
  </si>
  <si>
    <t>Dividend</t>
  </si>
  <si>
    <t>TRENDS</t>
  </si>
  <si>
    <t>9 Years</t>
  </si>
  <si>
    <t>7 Years</t>
  </si>
  <si>
    <t>5 Years</t>
  </si>
  <si>
    <t>3 Years</t>
  </si>
  <si>
    <t>Recent</t>
  </si>
  <si>
    <t>PE RATIO</t>
  </si>
  <si>
    <t>INCOME STATEMENT AND ANALYSIS</t>
  </si>
  <si>
    <t>NAME OF THE COMPANY</t>
  </si>
  <si>
    <t>Cash from Operating Activities</t>
  </si>
  <si>
    <t>Cash from Investing Activities</t>
  </si>
  <si>
    <t>Cash from Financing Activities</t>
  </si>
  <si>
    <t>Target Value</t>
  </si>
  <si>
    <t>Growth Rate</t>
  </si>
  <si>
    <t>Moderate value</t>
  </si>
  <si>
    <t>India 10Y Bond</t>
  </si>
  <si>
    <t>Market Return - Risk Free</t>
  </si>
  <si>
    <r>
      <t>K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= R + β*R</t>
    </r>
    <r>
      <rPr>
        <vertAlign val="subscript"/>
        <sz val="11"/>
        <color theme="1"/>
        <rFont val="Calibri"/>
        <family val="2"/>
        <scheme val="minor"/>
      </rPr>
      <t>m</t>
    </r>
  </si>
  <si>
    <t>Interest Rate</t>
  </si>
  <si>
    <t>Corporate Tax</t>
  </si>
  <si>
    <t>Chemical Industry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</si>
</sst>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1" fillId="0" borderId="0" xfId="2" applyFont="1" applyBorder="1"/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4" fillId="0" borderId="0" xfId="1" applyNumberFormat="1" applyFont="1" applyFill="1" applyBorder="1"/>
    <xf numFmtId="0" fontId="4" fillId="0" borderId="0" xfId="0" applyFont="1"/>
    <xf numFmtId="164" fontId="0" fillId="0" borderId="0" xfId="1" applyNumberFormat="1" applyFont="1" applyBorder="1"/>
    <xf numFmtId="0" fontId="6" fillId="0" borderId="0" xfId="0" applyFont="1"/>
    <xf numFmtId="43" fontId="0" fillId="0" borderId="0" xfId="0" applyNumberFormat="1"/>
    <xf numFmtId="9" fontId="7" fillId="0" borderId="0" xfId="0" applyNumberFormat="1" applyFont="1"/>
    <xf numFmtId="0" fontId="0" fillId="0" borderId="0" xfId="0" applyFont="1"/>
    <xf numFmtId="0" fontId="2" fillId="2" borderId="0" xfId="0" applyFont="1" applyFill="1"/>
    <xf numFmtId="2" fontId="0" fillId="0" borderId="0" xfId="0" applyNumberFormat="1"/>
    <xf numFmtId="2" fontId="1" fillId="0" borderId="0" xfId="0" applyNumberFormat="1" applyFont="1"/>
    <xf numFmtId="0" fontId="1" fillId="0" borderId="0" xfId="0" applyFont="1" applyBorder="1"/>
    <xf numFmtId="165" fontId="2" fillId="2" borderId="0" xfId="0" applyNumberFormat="1" applyFont="1" applyFill="1" applyAlignment="1">
      <alignment horizontal="center"/>
    </xf>
    <xf numFmtId="165" fontId="2" fillId="2" borderId="0" xfId="1" applyNumberFormat="1" applyFont="1" applyFill="1" applyBorder="1"/>
    <xf numFmtId="2" fontId="2" fillId="5" borderId="0" xfId="0" applyNumberFormat="1" applyFont="1" applyFill="1"/>
    <xf numFmtId="2" fontId="2" fillId="4" borderId="0" xfId="0" applyNumberFormat="1" applyFont="1" applyFill="1"/>
    <xf numFmtId="10" fontId="1" fillId="0" borderId="0" xfId="2" applyNumberFormat="1" applyFont="1" applyBorder="1"/>
    <xf numFmtId="0" fontId="0" fillId="0" borderId="0" xfId="0" applyFont="1" applyAlignment="1">
      <alignment wrapText="1"/>
    </xf>
    <xf numFmtId="43" fontId="1" fillId="0" borderId="0" xfId="0" applyNumberFormat="1" applyFont="1"/>
    <xf numFmtId="0" fontId="0" fillId="0" borderId="0" xfId="0" applyBorder="1"/>
    <xf numFmtId="0" fontId="4" fillId="0" borderId="0" xfId="0" applyFont="1" applyBorder="1"/>
    <xf numFmtId="9" fontId="8" fillId="0" borderId="0" xfId="0" applyNumberFormat="1" applyFont="1" applyBorder="1"/>
    <xf numFmtId="2" fontId="1" fillId="3" borderId="0" xfId="0" applyNumberFormat="1" applyFont="1" applyFill="1" applyBorder="1"/>
    <xf numFmtId="0" fontId="0" fillId="0" borderId="0" xfId="0" applyFill="1" applyBorder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7" fillId="0" borderId="0" xfId="0" applyNumberFormat="1" applyFont="1" applyBorder="1"/>
    <xf numFmtId="2" fontId="7" fillId="0" borderId="0" xfId="0" applyNumberFormat="1" applyFont="1" applyBorder="1"/>
  </cellXfs>
  <cellStyles count="3">
    <cellStyle name="Comma" xfId="1" builtinId="3"/>
    <cellStyle name="Normal" xfId="0" builtinId="0"/>
    <cellStyle name="Per cent" xfId="2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4:K15" headerRowCount="0" totalsRowShown="0" headerRowDxfId="11">
  <tableColumns count="11">
    <tableColumn id="1" xr3:uid="{00000000-0010-0000-0100-000001000000}" name="Column1" headerRowDxfId="0"/>
    <tableColumn id="2" xr3:uid="{00000000-0010-0000-0100-000002000000}" name="Column2" headerRowDxfId="1"/>
    <tableColumn id="3" xr3:uid="{00000000-0010-0000-0100-000003000000}" name="Column3" headerRowDxfId="2"/>
    <tableColumn id="4" xr3:uid="{00000000-0010-0000-0100-000004000000}" name="Column4" headerRowDxfId="3"/>
    <tableColumn id="5" xr3:uid="{00000000-0010-0000-0100-000005000000}" name="Column5" headerRowDxfId="4"/>
    <tableColumn id="6" xr3:uid="{00000000-0010-0000-0100-000006000000}" name="Column6" headerRowDxfId="5"/>
    <tableColumn id="7" xr3:uid="{00000000-0010-0000-0100-000007000000}" name="Column7" headerRowDxfId="6"/>
    <tableColumn id="8" xr3:uid="{00000000-0010-0000-0100-000008000000}" name="Column8" headerRowDxfId="7"/>
    <tableColumn id="9" xr3:uid="{00000000-0010-0000-0100-000009000000}" name="Column9" headerRowDxfId="8"/>
    <tableColumn id="10" xr3:uid="{00000000-0010-0000-0100-00000A000000}" name="Column10" headerRowDxfId="9"/>
    <tableColumn id="11" xr3:uid="{00000000-0010-0000-0100-00000B000000}" name="Column11" headerRowDxfId="10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1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C6" sqref="C6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116</v>
      </c>
      <c r="B1" s="1" t="s">
        <v>40</v>
      </c>
    </row>
    <row r="2" spans="1:11" x14ac:dyDescent="0.3">
      <c r="A2" s="1"/>
    </row>
    <row r="3" spans="1:11" x14ac:dyDescent="0.3">
      <c r="A3" s="1"/>
    </row>
    <row r="4" spans="1:11" x14ac:dyDescent="0.3">
      <c r="A4" s="1" t="s">
        <v>31</v>
      </c>
      <c r="B4" s="3">
        <f>IF(B7&gt;0, B7/B6, 0)</f>
        <v>13.639292370499659</v>
      </c>
    </row>
    <row r="5" spans="1:11" x14ac:dyDescent="0.3">
      <c r="A5" s="1" t="s">
        <v>21</v>
      </c>
      <c r="B5">
        <v>2</v>
      </c>
    </row>
    <row r="6" spans="1:11" x14ac:dyDescent="0.3">
      <c r="A6" s="1" t="s">
        <v>32</v>
      </c>
      <c r="B6">
        <v>1690.15</v>
      </c>
    </row>
    <row r="7" spans="1:11" x14ac:dyDescent="0.3">
      <c r="A7" s="1" t="s">
        <v>50</v>
      </c>
      <c r="B7">
        <v>23052.45</v>
      </c>
    </row>
    <row r="13" spans="1:11" x14ac:dyDescent="0.3">
      <c r="A13" s="1" t="s">
        <v>26</v>
      </c>
    </row>
    <row r="14" spans="1:11" s="10" customFormat="1" x14ac:dyDescent="0.3">
      <c r="A14" s="22" t="s">
        <v>27</v>
      </c>
      <c r="B14" s="21">
        <v>42460</v>
      </c>
      <c r="C14" s="21">
        <v>42825</v>
      </c>
      <c r="D14" s="21">
        <v>43190</v>
      </c>
      <c r="E14" s="21">
        <v>43555</v>
      </c>
      <c r="F14" s="21">
        <v>43921</v>
      </c>
      <c r="G14" s="21">
        <v>44286</v>
      </c>
      <c r="H14" s="21">
        <v>44651</v>
      </c>
      <c r="I14" s="21">
        <v>45016</v>
      </c>
      <c r="J14" s="21">
        <v>45382</v>
      </c>
      <c r="K14" s="21">
        <v>45747</v>
      </c>
    </row>
    <row r="15" spans="1:11" s="5" customFormat="1" x14ac:dyDescent="0.3">
      <c r="A15" s="5" t="s">
        <v>2</v>
      </c>
      <c r="B15">
        <v>1372.93</v>
      </c>
      <c r="C15">
        <v>1370.71</v>
      </c>
      <c r="D15">
        <v>1651.45</v>
      </c>
      <c r="E15">
        <v>2699.92</v>
      </c>
      <c r="F15">
        <v>4229.71</v>
      </c>
      <c r="G15">
        <v>4359.75</v>
      </c>
      <c r="H15">
        <v>6802.19</v>
      </c>
      <c r="I15">
        <v>7972.06</v>
      </c>
      <c r="J15">
        <v>7681.83</v>
      </c>
      <c r="K15">
        <v>8281.93</v>
      </c>
    </row>
    <row r="16" spans="1:11" s="5" customFormat="1" x14ac:dyDescent="0.3">
      <c r="A16" s="3" t="s">
        <v>51</v>
      </c>
      <c r="B16">
        <v>832.16</v>
      </c>
      <c r="C16">
        <v>849.58</v>
      </c>
      <c r="D16">
        <v>1003.71</v>
      </c>
      <c r="E16">
        <v>1773.71</v>
      </c>
      <c r="F16">
        <v>2315.3000000000002</v>
      </c>
      <c r="G16">
        <v>2239.5500000000002</v>
      </c>
      <c r="H16">
        <v>4163.8</v>
      </c>
      <c r="I16">
        <v>5495.06</v>
      </c>
      <c r="J16">
        <v>5086.96</v>
      </c>
      <c r="K16">
        <v>5772.59</v>
      </c>
    </row>
    <row r="17" spans="1:11" s="5" customFormat="1" x14ac:dyDescent="0.3">
      <c r="A17" s="3" t="s">
        <v>52</v>
      </c>
      <c r="B17">
        <v>6.7</v>
      </c>
      <c r="C17">
        <v>25.91</v>
      </c>
      <c r="D17">
        <v>-10.71</v>
      </c>
      <c r="E17">
        <v>153.59</v>
      </c>
      <c r="F17">
        <v>-25.59</v>
      </c>
      <c r="G17">
        <v>10.01</v>
      </c>
      <c r="H17">
        <v>96.6</v>
      </c>
      <c r="I17">
        <v>191.11</v>
      </c>
      <c r="J17">
        <v>-102.99</v>
      </c>
      <c r="K17">
        <v>24.9</v>
      </c>
    </row>
    <row r="18" spans="1:11" s="5" customFormat="1" x14ac:dyDescent="0.3">
      <c r="A18" s="3" t="s">
        <v>53</v>
      </c>
      <c r="B18">
        <v>118.15</v>
      </c>
      <c r="C18">
        <v>102.44</v>
      </c>
      <c r="D18">
        <v>119.88</v>
      </c>
      <c r="E18">
        <v>207.33</v>
      </c>
      <c r="F18">
        <v>285.19</v>
      </c>
      <c r="G18">
        <v>264.74</v>
      </c>
      <c r="H18">
        <v>438.61</v>
      </c>
      <c r="I18">
        <v>541.92999999999995</v>
      </c>
      <c r="J18">
        <v>457.12</v>
      </c>
      <c r="K18">
        <v>463.52</v>
      </c>
    </row>
    <row r="19" spans="1:11" s="5" customFormat="1" x14ac:dyDescent="0.3">
      <c r="A19" s="3" t="s">
        <v>54</v>
      </c>
      <c r="B19">
        <v>56.27</v>
      </c>
      <c r="C19">
        <v>75.290000000000006</v>
      </c>
      <c r="D19">
        <v>75.040000000000006</v>
      </c>
      <c r="E19">
        <v>99.11</v>
      </c>
      <c r="F19">
        <v>138.87</v>
      </c>
      <c r="G19">
        <v>110.83</v>
      </c>
      <c r="H19">
        <v>138.55000000000001</v>
      </c>
      <c r="I19">
        <v>158.69999999999999</v>
      </c>
      <c r="J19">
        <v>178.33</v>
      </c>
      <c r="K19">
        <v>176.52</v>
      </c>
    </row>
    <row r="20" spans="1:11" s="5" customFormat="1" x14ac:dyDescent="0.3">
      <c r="A20" s="3" t="s">
        <v>55</v>
      </c>
      <c r="B20">
        <v>119.25</v>
      </c>
      <c r="C20">
        <v>122.46</v>
      </c>
      <c r="D20">
        <v>136.36000000000001</v>
      </c>
      <c r="E20">
        <v>179.96</v>
      </c>
      <c r="F20">
        <v>218.81</v>
      </c>
      <c r="G20">
        <v>250.31</v>
      </c>
      <c r="H20">
        <v>277.70999999999998</v>
      </c>
      <c r="I20">
        <v>322.44</v>
      </c>
      <c r="J20">
        <v>355.19</v>
      </c>
      <c r="K20">
        <v>395.82</v>
      </c>
    </row>
    <row r="21" spans="1:11" s="5" customFormat="1" x14ac:dyDescent="0.3">
      <c r="A21" s="3" t="s">
        <v>56</v>
      </c>
      <c r="B21">
        <v>52.11</v>
      </c>
      <c r="C21">
        <v>82.05</v>
      </c>
      <c r="D21">
        <v>76.02</v>
      </c>
      <c r="E21">
        <v>111.24</v>
      </c>
      <c r="F21">
        <v>158.47</v>
      </c>
      <c r="G21">
        <v>179.83</v>
      </c>
      <c r="H21">
        <v>219.74</v>
      </c>
      <c r="I21">
        <v>272.45</v>
      </c>
      <c r="J21">
        <v>261.17</v>
      </c>
      <c r="K21">
        <v>280.95</v>
      </c>
    </row>
    <row r="22" spans="1:11" s="5" customFormat="1" x14ac:dyDescent="0.3">
      <c r="A22" s="3" t="s">
        <v>57</v>
      </c>
      <c r="B22">
        <v>33.130000000000003</v>
      </c>
      <c r="C22">
        <v>25.31</v>
      </c>
      <c r="D22">
        <v>25.68</v>
      </c>
      <c r="E22">
        <v>60.68</v>
      </c>
      <c r="F22">
        <v>52.25</v>
      </c>
      <c r="G22">
        <v>72.48</v>
      </c>
      <c r="H22">
        <v>53.71</v>
      </c>
      <c r="I22">
        <v>80.16</v>
      </c>
      <c r="J22">
        <v>113.52</v>
      </c>
      <c r="K22">
        <v>122.37</v>
      </c>
    </row>
    <row r="23" spans="1:11" s="5" customFormat="1" x14ac:dyDescent="0.3">
      <c r="A23" s="5" t="s">
        <v>5</v>
      </c>
      <c r="B23">
        <v>-0.18</v>
      </c>
      <c r="C23">
        <v>79.650000000000006</v>
      </c>
      <c r="D23">
        <v>6.82</v>
      </c>
      <c r="E23">
        <v>10.84</v>
      </c>
      <c r="F23">
        <v>28.87</v>
      </c>
      <c r="G23">
        <v>19.66</v>
      </c>
      <c r="H23">
        <v>41.85</v>
      </c>
      <c r="I23">
        <v>46.43</v>
      </c>
      <c r="J23">
        <v>155.93</v>
      </c>
      <c r="K23">
        <v>83.86</v>
      </c>
    </row>
    <row r="24" spans="1:11" s="5" customFormat="1" x14ac:dyDescent="0.3">
      <c r="A24" s="5" t="s">
        <v>6</v>
      </c>
      <c r="B24">
        <v>39.54</v>
      </c>
      <c r="C24">
        <v>48.04</v>
      </c>
      <c r="D24">
        <v>52.6</v>
      </c>
      <c r="E24">
        <v>77.790000000000006</v>
      </c>
      <c r="F24">
        <v>139.72999999999999</v>
      </c>
      <c r="G24">
        <v>152.63</v>
      </c>
      <c r="H24">
        <v>177.7</v>
      </c>
      <c r="I24">
        <v>166.3</v>
      </c>
      <c r="J24">
        <v>165.66</v>
      </c>
      <c r="K24">
        <v>195.37</v>
      </c>
    </row>
    <row r="25" spans="1:11" s="5" customFormat="1" x14ac:dyDescent="0.3">
      <c r="A25" s="5" t="s">
        <v>7</v>
      </c>
      <c r="B25">
        <v>39.71</v>
      </c>
      <c r="C25">
        <v>36.54</v>
      </c>
      <c r="D25">
        <v>47.42</v>
      </c>
      <c r="E25">
        <v>86.55</v>
      </c>
      <c r="F25">
        <v>117.97</v>
      </c>
      <c r="G25">
        <v>77.33</v>
      </c>
      <c r="H25">
        <v>36.369999999999997</v>
      </c>
      <c r="I25">
        <v>26.68</v>
      </c>
      <c r="J25">
        <v>15.1</v>
      </c>
      <c r="K25">
        <v>30.8</v>
      </c>
    </row>
    <row r="26" spans="1:11" s="5" customFormat="1" x14ac:dyDescent="0.3">
      <c r="A26" s="5" t="s">
        <v>8</v>
      </c>
      <c r="B26">
        <v>89.13</v>
      </c>
      <c r="C26">
        <v>134.56</v>
      </c>
      <c r="D26">
        <v>110.85</v>
      </c>
      <c r="E26">
        <v>267.98</v>
      </c>
      <c r="F26">
        <v>806.4</v>
      </c>
      <c r="G26">
        <v>1041.72</v>
      </c>
      <c r="H26">
        <v>1434.45</v>
      </c>
      <c r="I26">
        <v>1145.8800000000001</v>
      </c>
      <c r="J26">
        <v>1101.72</v>
      </c>
      <c r="K26">
        <v>952.75</v>
      </c>
    </row>
    <row r="27" spans="1:11" s="5" customFormat="1" x14ac:dyDescent="0.3">
      <c r="A27" s="5" t="s">
        <v>9</v>
      </c>
      <c r="B27">
        <v>26.23</v>
      </c>
      <c r="C27">
        <v>38.24</v>
      </c>
      <c r="D27">
        <v>31.84</v>
      </c>
      <c r="E27">
        <v>94.32</v>
      </c>
      <c r="F27">
        <v>195.37</v>
      </c>
      <c r="G27">
        <v>265.91000000000003</v>
      </c>
      <c r="H27">
        <v>367.81</v>
      </c>
      <c r="I27">
        <v>293.88</v>
      </c>
      <c r="J27">
        <v>290.83</v>
      </c>
      <c r="K27">
        <v>255.38</v>
      </c>
    </row>
    <row r="28" spans="1:11" s="5" customFormat="1" x14ac:dyDescent="0.3">
      <c r="A28" s="5" t="s">
        <v>10</v>
      </c>
      <c r="B28">
        <v>62.73</v>
      </c>
      <c r="C28">
        <v>96.32</v>
      </c>
      <c r="D28">
        <v>79.02</v>
      </c>
      <c r="E28">
        <v>173.66</v>
      </c>
      <c r="F28">
        <v>611.03</v>
      </c>
      <c r="G28">
        <v>775.81</v>
      </c>
      <c r="H28">
        <v>1066.6400000000001</v>
      </c>
      <c r="I28">
        <v>852</v>
      </c>
      <c r="J28">
        <v>810.9</v>
      </c>
      <c r="K28">
        <v>697.24</v>
      </c>
    </row>
    <row r="29" spans="1:11" s="5" customFormat="1" x14ac:dyDescent="0.3">
      <c r="A29" s="5" t="s">
        <v>41</v>
      </c>
      <c r="B29">
        <v>13.96</v>
      </c>
      <c r="C29">
        <v>15.68</v>
      </c>
      <c r="D29">
        <v>17.73</v>
      </c>
      <c r="E29">
        <v>27.28</v>
      </c>
      <c r="F29">
        <v>61.38</v>
      </c>
      <c r="G29">
        <v>75.02</v>
      </c>
      <c r="H29">
        <v>95.48</v>
      </c>
      <c r="I29">
        <v>102.3</v>
      </c>
      <c r="J29">
        <v>102.3</v>
      </c>
      <c r="K29">
        <v>102.3</v>
      </c>
    </row>
    <row r="30" spans="1:11" s="5" customFormat="1" x14ac:dyDescent="0.3"/>
    <row r="31" spans="1:11" x14ac:dyDescent="0.3">
      <c r="A31" s="5"/>
    </row>
    <row r="32" spans="1:11" x14ac:dyDescent="0.3">
      <c r="A32" s="5"/>
    </row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1" t="s">
        <v>28</v>
      </c>
    </row>
    <row r="39" spans="1:11" s="10" customFormat="1" x14ac:dyDescent="0.3">
      <c r="A39" s="22" t="s">
        <v>27</v>
      </c>
      <c r="B39" s="21">
        <v>45107</v>
      </c>
      <c r="C39" s="21">
        <v>45199</v>
      </c>
      <c r="D39" s="21">
        <v>45291</v>
      </c>
      <c r="E39" s="21">
        <v>45382</v>
      </c>
      <c r="F39" s="21">
        <v>45473</v>
      </c>
      <c r="G39" s="21">
        <v>45565</v>
      </c>
      <c r="H39" s="21">
        <v>45657</v>
      </c>
      <c r="I39" s="21">
        <v>45747</v>
      </c>
      <c r="J39" s="21">
        <v>45838</v>
      </c>
      <c r="K39" s="21">
        <v>45930</v>
      </c>
    </row>
    <row r="40" spans="1:11" s="5" customFormat="1" x14ac:dyDescent="0.3">
      <c r="A40" s="5" t="s">
        <v>2</v>
      </c>
      <c r="B40">
        <v>1768.34</v>
      </c>
      <c r="C40">
        <v>1778.05</v>
      </c>
      <c r="D40">
        <v>2009.23</v>
      </c>
      <c r="E40">
        <v>2126.21</v>
      </c>
      <c r="F40">
        <v>2166.84</v>
      </c>
      <c r="G40">
        <v>2032</v>
      </c>
      <c r="H40">
        <v>1903.4</v>
      </c>
      <c r="I40">
        <v>2179.69</v>
      </c>
      <c r="J40">
        <v>1889.88</v>
      </c>
      <c r="K40">
        <v>1901.89</v>
      </c>
    </row>
    <row r="41" spans="1:11" s="5" customFormat="1" x14ac:dyDescent="0.3">
      <c r="A41" s="5" t="s">
        <v>3</v>
      </c>
      <c r="B41">
        <v>1558.59</v>
      </c>
      <c r="C41">
        <v>1475.79</v>
      </c>
      <c r="D41">
        <v>1704.58</v>
      </c>
      <c r="E41">
        <v>1825.09</v>
      </c>
      <c r="F41">
        <v>1857.65</v>
      </c>
      <c r="G41">
        <v>1734.48</v>
      </c>
      <c r="H41">
        <v>1734.86</v>
      </c>
      <c r="I41">
        <v>1863.18</v>
      </c>
      <c r="J41">
        <v>1700.32</v>
      </c>
      <c r="K41">
        <v>1697.62</v>
      </c>
    </row>
    <row r="42" spans="1:11" s="5" customFormat="1" x14ac:dyDescent="0.3">
      <c r="A42" s="5" t="s">
        <v>5</v>
      </c>
      <c r="B42">
        <v>31.87</v>
      </c>
      <c r="C42">
        <v>17.05</v>
      </c>
      <c r="D42">
        <v>13.56</v>
      </c>
      <c r="E42">
        <v>98.94</v>
      </c>
      <c r="F42">
        <v>18.809999999999999</v>
      </c>
      <c r="G42">
        <v>21.27</v>
      </c>
      <c r="H42">
        <v>20.99</v>
      </c>
      <c r="I42">
        <v>22.79</v>
      </c>
      <c r="J42">
        <v>24.56</v>
      </c>
      <c r="K42">
        <v>19.95</v>
      </c>
    </row>
    <row r="43" spans="1:11" s="5" customFormat="1" x14ac:dyDescent="0.3">
      <c r="A43" s="5" t="s">
        <v>6</v>
      </c>
      <c r="B43">
        <v>38.08</v>
      </c>
      <c r="C43">
        <v>39.43</v>
      </c>
      <c r="D43">
        <v>41.69</v>
      </c>
      <c r="E43">
        <v>46.46</v>
      </c>
      <c r="F43">
        <v>47.45</v>
      </c>
      <c r="G43">
        <v>48.46</v>
      </c>
      <c r="H43">
        <v>48.22</v>
      </c>
      <c r="I43">
        <v>51.25</v>
      </c>
      <c r="J43">
        <v>51.25</v>
      </c>
      <c r="K43">
        <v>53.25</v>
      </c>
    </row>
    <row r="44" spans="1:11" s="5" customFormat="1" x14ac:dyDescent="0.3">
      <c r="A44" s="5" t="s">
        <v>7</v>
      </c>
      <c r="B44">
        <v>1.81</v>
      </c>
      <c r="C44">
        <v>2.68</v>
      </c>
      <c r="D44">
        <v>2.93</v>
      </c>
      <c r="E44">
        <v>4.41</v>
      </c>
      <c r="F44">
        <v>5.75</v>
      </c>
      <c r="G44">
        <v>6.3</v>
      </c>
      <c r="H44">
        <v>6.11</v>
      </c>
      <c r="I44">
        <v>9.34</v>
      </c>
      <c r="J44">
        <v>8.1300000000000008</v>
      </c>
      <c r="K44">
        <v>7.94</v>
      </c>
    </row>
    <row r="45" spans="1:11" s="5" customFormat="1" x14ac:dyDescent="0.3">
      <c r="A45" s="5" t="s">
        <v>8</v>
      </c>
      <c r="B45">
        <v>201.73</v>
      </c>
      <c r="C45">
        <v>277.2</v>
      </c>
      <c r="D45">
        <v>273.58999999999997</v>
      </c>
      <c r="E45">
        <v>349.19</v>
      </c>
      <c r="F45">
        <v>274.8</v>
      </c>
      <c r="G45">
        <v>264.02999999999997</v>
      </c>
      <c r="H45">
        <v>135.19999999999999</v>
      </c>
      <c r="I45">
        <v>278.70999999999998</v>
      </c>
      <c r="J45">
        <v>154.74</v>
      </c>
      <c r="K45">
        <v>163.03</v>
      </c>
    </row>
    <row r="46" spans="1:11" s="5" customFormat="1" x14ac:dyDescent="0.3">
      <c r="A46" s="5" t="s">
        <v>9</v>
      </c>
      <c r="B46">
        <v>51.83</v>
      </c>
      <c r="C46">
        <v>72.12</v>
      </c>
      <c r="D46">
        <v>71.540000000000006</v>
      </c>
      <c r="E46">
        <v>95.34</v>
      </c>
      <c r="F46">
        <v>72.27</v>
      </c>
      <c r="G46">
        <v>69.83</v>
      </c>
      <c r="H46">
        <v>37.07</v>
      </c>
      <c r="I46">
        <v>76.209999999999994</v>
      </c>
      <c r="J46">
        <v>42.49</v>
      </c>
      <c r="K46">
        <v>44.28</v>
      </c>
    </row>
    <row r="47" spans="1:11" s="5" customFormat="1" x14ac:dyDescent="0.3">
      <c r="A47" s="5" t="s">
        <v>10</v>
      </c>
      <c r="B47">
        <v>149.9</v>
      </c>
      <c r="C47">
        <v>205.08</v>
      </c>
      <c r="D47">
        <v>202.05</v>
      </c>
      <c r="E47">
        <v>253.86</v>
      </c>
      <c r="F47">
        <v>202.54</v>
      </c>
      <c r="G47">
        <v>194.19</v>
      </c>
      <c r="H47">
        <v>98.09</v>
      </c>
      <c r="I47">
        <v>202.41</v>
      </c>
      <c r="J47">
        <v>112.2</v>
      </c>
      <c r="K47">
        <v>118.71</v>
      </c>
    </row>
    <row r="48" spans="1:11" x14ac:dyDescent="0.3">
      <c r="A48" s="5" t="s">
        <v>4</v>
      </c>
      <c r="B48">
        <v>209.75</v>
      </c>
      <c r="C48">
        <v>302.26</v>
      </c>
      <c r="D48">
        <v>304.64999999999998</v>
      </c>
      <c r="E48">
        <v>301.12</v>
      </c>
      <c r="F48">
        <v>309.19</v>
      </c>
      <c r="G48">
        <v>297.52</v>
      </c>
      <c r="H48">
        <v>168.54</v>
      </c>
      <c r="I48">
        <v>316.51</v>
      </c>
      <c r="J48">
        <v>189.56</v>
      </c>
      <c r="K48">
        <v>204.27</v>
      </c>
    </row>
    <row r="49" spans="1:11" x14ac:dyDescent="0.3">
      <c r="A49" s="5"/>
    </row>
    <row r="50" spans="1:11" x14ac:dyDescent="0.3">
      <c r="A50" s="5"/>
    </row>
    <row r="51" spans="1:11" x14ac:dyDescent="0.3">
      <c r="A51" s="5"/>
    </row>
    <row r="52" spans="1:11" x14ac:dyDescent="0.3">
      <c r="A52" s="5"/>
    </row>
    <row r="53" spans="1:11" x14ac:dyDescent="0.3">
      <c r="A53" s="1" t="s">
        <v>29</v>
      </c>
    </row>
    <row r="54" spans="1:11" s="10" customFormat="1" x14ac:dyDescent="0.3">
      <c r="A54" s="22" t="s">
        <v>27</v>
      </c>
      <c r="B54" s="21">
        <v>42460</v>
      </c>
      <c r="C54" s="21">
        <v>42825</v>
      </c>
      <c r="D54" s="21">
        <v>43190</v>
      </c>
      <c r="E54" s="21">
        <v>43555</v>
      </c>
      <c r="F54" s="21">
        <v>43921</v>
      </c>
      <c r="G54" s="21">
        <v>44286</v>
      </c>
      <c r="H54" s="21">
        <v>44651</v>
      </c>
      <c r="I54" s="21">
        <v>45016</v>
      </c>
      <c r="J54" s="21">
        <v>45382</v>
      </c>
      <c r="K54" s="21">
        <v>45747</v>
      </c>
    </row>
    <row r="55" spans="1:11" x14ac:dyDescent="0.3">
      <c r="A55" s="5" t="s">
        <v>14</v>
      </c>
      <c r="B55">
        <v>23.26</v>
      </c>
      <c r="C55">
        <v>26.14</v>
      </c>
      <c r="D55">
        <v>27.28</v>
      </c>
      <c r="E55">
        <v>27.28</v>
      </c>
      <c r="F55">
        <v>27.28</v>
      </c>
      <c r="G55">
        <v>27.28</v>
      </c>
      <c r="H55">
        <v>27.28</v>
      </c>
      <c r="I55">
        <v>27.28</v>
      </c>
      <c r="J55">
        <v>27.28</v>
      </c>
      <c r="K55">
        <v>27.28</v>
      </c>
    </row>
    <row r="56" spans="1:11" x14ac:dyDescent="0.3">
      <c r="A56" s="5" t="s">
        <v>15</v>
      </c>
      <c r="B56">
        <v>449.61</v>
      </c>
      <c r="C56">
        <v>688.72</v>
      </c>
      <c r="D56">
        <v>894.86</v>
      </c>
      <c r="E56">
        <v>1044.31</v>
      </c>
      <c r="F56">
        <v>1544.63</v>
      </c>
      <c r="G56">
        <v>2319.37</v>
      </c>
      <c r="H56">
        <v>3311.16</v>
      </c>
      <c r="I56">
        <v>4062.68</v>
      </c>
      <c r="J56">
        <v>4769.34</v>
      </c>
      <c r="K56">
        <v>5361.39</v>
      </c>
    </row>
    <row r="57" spans="1:11" x14ac:dyDescent="0.3">
      <c r="A57" s="5" t="s">
        <v>42</v>
      </c>
      <c r="B57">
        <v>528.80999999999995</v>
      </c>
      <c r="C57">
        <v>723.89</v>
      </c>
      <c r="D57">
        <v>986.54</v>
      </c>
      <c r="E57">
        <v>1186.51</v>
      </c>
      <c r="F57">
        <v>1106.8399999999999</v>
      </c>
      <c r="G57">
        <v>589.74</v>
      </c>
      <c r="H57">
        <v>315.02999999999997</v>
      </c>
      <c r="I57">
        <v>72.86</v>
      </c>
      <c r="J57">
        <v>286.08</v>
      </c>
      <c r="K57">
        <v>1267.01</v>
      </c>
    </row>
    <row r="58" spans="1:11" x14ac:dyDescent="0.3">
      <c r="A58" s="5" t="s">
        <v>43</v>
      </c>
      <c r="B58">
        <v>294.56</v>
      </c>
      <c r="C58">
        <v>350.44</v>
      </c>
      <c r="D58">
        <v>683.62</v>
      </c>
      <c r="E58">
        <v>677.17</v>
      </c>
      <c r="F58">
        <v>537.79</v>
      </c>
      <c r="G58">
        <v>630.26</v>
      </c>
      <c r="H58">
        <v>778.79</v>
      </c>
      <c r="I58">
        <v>966.67</v>
      </c>
      <c r="J58">
        <v>1012.18</v>
      </c>
      <c r="K58">
        <v>1052.6400000000001</v>
      </c>
    </row>
    <row r="59" spans="1:11" s="1" customFormat="1" x14ac:dyDescent="0.3">
      <c r="A59" s="1" t="s">
        <v>16</v>
      </c>
      <c r="B59">
        <v>1296.24</v>
      </c>
      <c r="C59">
        <v>1789.19</v>
      </c>
      <c r="D59">
        <v>2592.3000000000002</v>
      </c>
      <c r="E59">
        <v>2935.27</v>
      </c>
      <c r="F59">
        <v>3216.54</v>
      </c>
      <c r="G59">
        <v>3566.65</v>
      </c>
      <c r="H59">
        <v>4432.26</v>
      </c>
      <c r="I59">
        <v>5129.49</v>
      </c>
      <c r="J59">
        <v>6094.88</v>
      </c>
      <c r="K59">
        <v>7708.32</v>
      </c>
    </row>
    <row r="60" spans="1:11" x14ac:dyDescent="0.3">
      <c r="A60" s="5" t="s">
        <v>17</v>
      </c>
      <c r="B60">
        <v>593.75</v>
      </c>
      <c r="C60">
        <v>585.92999999999995</v>
      </c>
      <c r="D60">
        <v>587.55999999999995</v>
      </c>
      <c r="E60">
        <v>1715.83</v>
      </c>
      <c r="F60">
        <v>1831.98</v>
      </c>
      <c r="G60">
        <v>1863.74</v>
      </c>
      <c r="H60">
        <v>1963.43</v>
      </c>
      <c r="I60">
        <v>1941.61</v>
      </c>
      <c r="J60">
        <v>2292.7199999999998</v>
      </c>
      <c r="K60">
        <v>2457.23</v>
      </c>
    </row>
    <row r="61" spans="1:11" x14ac:dyDescent="0.3">
      <c r="A61" s="5" t="s">
        <v>18</v>
      </c>
      <c r="B61">
        <v>35.909999999999997</v>
      </c>
      <c r="C61">
        <v>349.19</v>
      </c>
      <c r="D61">
        <v>954.51</v>
      </c>
      <c r="E61">
        <v>33.869999999999997</v>
      </c>
      <c r="F61">
        <v>172.27</v>
      </c>
      <c r="G61">
        <v>220.44</v>
      </c>
      <c r="H61">
        <v>122.23</v>
      </c>
      <c r="I61">
        <v>300.83</v>
      </c>
      <c r="J61">
        <v>773.51</v>
      </c>
      <c r="K61">
        <v>1649.05</v>
      </c>
    </row>
    <row r="62" spans="1:11" x14ac:dyDescent="0.3">
      <c r="A62" s="5" t="s">
        <v>19</v>
      </c>
      <c r="B62">
        <v>86.6</v>
      </c>
      <c r="C62">
        <v>118.08</v>
      </c>
      <c r="D62">
        <v>31.77</v>
      </c>
      <c r="E62">
        <v>2.39</v>
      </c>
      <c r="F62">
        <v>2.38</v>
      </c>
      <c r="G62">
        <v>189.29</v>
      </c>
      <c r="H62">
        <v>439.02</v>
      </c>
      <c r="I62">
        <v>379.35</v>
      </c>
      <c r="J62">
        <v>121.85</v>
      </c>
      <c r="K62">
        <v>510.89</v>
      </c>
    </row>
    <row r="63" spans="1:11" x14ac:dyDescent="0.3">
      <c r="A63" s="5" t="s">
        <v>44</v>
      </c>
      <c r="B63">
        <v>579.98</v>
      </c>
      <c r="C63">
        <v>735.99</v>
      </c>
      <c r="D63">
        <v>1018.46</v>
      </c>
      <c r="E63">
        <v>1183.18</v>
      </c>
      <c r="F63">
        <v>1209.9100000000001</v>
      </c>
      <c r="G63">
        <v>1293.18</v>
      </c>
      <c r="H63">
        <v>1907.58</v>
      </c>
      <c r="I63">
        <v>2507.6999999999998</v>
      </c>
      <c r="J63">
        <v>2906.8</v>
      </c>
      <c r="K63">
        <v>3091.15</v>
      </c>
    </row>
    <row r="64" spans="1:11" s="1" customFormat="1" x14ac:dyDescent="0.3">
      <c r="A64" s="1" t="s">
        <v>16</v>
      </c>
      <c r="B64">
        <v>1296.24</v>
      </c>
      <c r="C64">
        <v>1789.19</v>
      </c>
      <c r="D64">
        <v>2592.3000000000002</v>
      </c>
      <c r="E64">
        <v>2935.27</v>
      </c>
      <c r="F64">
        <v>3216.54</v>
      </c>
      <c r="G64">
        <v>3566.65</v>
      </c>
      <c r="H64">
        <v>4432.26</v>
      </c>
      <c r="I64">
        <v>5129.49</v>
      </c>
      <c r="J64">
        <v>6094.88</v>
      </c>
      <c r="K64">
        <v>7708.32</v>
      </c>
    </row>
    <row r="65" spans="1:11" s="5" customFormat="1" x14ac:dyDescent="0.3">
      <c r="A65" s="5" t="s">
        <v>49</v>
      </c>
      <c r="B65">
        <v>313.19</v>
      </c>
      <c r="C65">
        <v>360.33</v>
      </c>
      <c r="D65">
        <v>411.77</v>
      </c>
      <c r="E65">
        <v>574.96</v>
      </c>
      <c r="F65">
        <v>612.72</v>
      </c>
      <c r="G65">
        <v>756.3</v>
      </c>
      <c r="H65">
        <v>1129.06</v>
      </c>
      <c r="I65">
        <v>1309.52</v>
      </c>
      <c r="J65">
        <v>1298.3499999999999</v>
      </c>
      <c r="K65">
        <v>1273.81</v>
      </c>
    </row>
    <row r="66" spans="1:11" x14ac:dyDescent="0.3">
      <c r="A66" s="5" t="s">
        <v>34</v>
      </c>
      <c r="B66">
        <v>123.11</v>
      </c>
      <c r="C66">
        <v>168.85</v>
      </c>
      <c r="D66">
        <v>327.16000000000003</v>
      </c>
      <c r="E66">
        <v>418.22</v>
      </c>
      <c r="F66">
        <v>402.43</v>
      </c>
      <c r="G66">
        <v>389.04</v>
      </c>
      <c r="H66">
        <v>586.35</v>
      </c>
      <c r="I66">
        <v>893.97</v>
      </c>
      <c r="J66">
        <v>760.74</v>
      </c>
      <c r="K66">
        <v>928.7</v>
      </c>
    </row>
    <row r="67" spans="1:11" x14ac:dyDescent="0.3">
      <c r="A67" s="3" t="s">
        <v>58</v>
      </c>
      <c r="B67">
        <v>6.49</v>
      </c>
      <c r="C67">
        <v>14.49</v>
      </c>
      <c r="D67">
        <v>48.2</v>
      </c>
      <c r="E67">
        <v>25.77</v>
      </c>
      <c r="F67">
        <v>31.4</v>
      </c>
      <c r="G67">
        <v>33.43</v>
      </c>
      <c r="H67">
        <v>41.79</v>
      </c>
      <c r="I67">
        <v>39.950000000000003</v>
      </c>
      <c r="J67">
        <v>465.46</v>
      </c>
      <c r="K67">
        <v>406.56</v>
      </c>
    </row>
    <row r="68" spans="1:11" x14ac:dyDescent="0.3">
      <c r="A68" s="3" t="s">
        <v>45</v>
      </c>
      <c r="B68">
        <v>116288190</v>
      </c>
      <c r="C68">
        <v>130711266</v>
      </c>
      <c r="D68">
        <v>136393500</v>
      </c>
      <c r="E68">
        <v>136393500</v>
      </c>
      <c r="F68">
        <v>136393500</v>
      </c>
      <c r="G68">
        <v>136393500</v>
      </c>
      <c r="H68">
        <v>136393500</v>
      </c>
      <c r="I68">
        <v>136393500</v>
      </c>
      <c r="J68">
        <v>136393041</v>
      </c>
      <c r="K68">
        <v>136393041</v>
      </c>
    </row>
    <row r="69" spans="1:11" x14ac:dyDescent="0.3">
      <c r="A69" s="3" t="s">
        <v>46</v>
      </c>
    </row>
    <row r="70" spans="1:11" x14ac:dyDescent="0.3">
      <c r="A70" s="3" t="s">
        <v>59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</row>
    <row r="72" spans="1:11" x14ac:dyDescent="0.3">
      <c r="A72" s="5"/>
    </row>
    <row r="73" spans="1:11" x14ac:dyDescent="0.3">
      <c r="A73" s="5"/>
    </row>
    <row r="74" spans="1:11" x14ac:dyDescent="0.3">
      <c r="A74" s="5"/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1" t="s">
        <v>30</v>
      </c>
    </row>
    <row r="79" spans="1:11" s="10" customFormat="1" x14ac:dyDescent="0.3">
      <c r="A79" s="22" t="s">
        <v>27</v>
      </c>
      <c r="B79" s="21">
        <v>42460</v>
      </c>
      <c r="C79" s="21">
        <v>42825</v>
      </c>
      <c r="D79" s="21">
        <v>43190</v>
      </c>
      <c r="E79" s="21">
        <v>43555</v>
      </c>
      <c r="F79" s="21">
        <v>43921</v>
      </c>
      <c r="G79" s="21">
        <v>44286</v>
      </c>
      <c r="H79" s="21">
        <v>44651</v>
      </c>
      <c r="I79" s="21">
        <v>45016</v>
      </c>
      <c r="J79" s="21">
        <v>45382</v>
      </c>
      <c r="K79" s="21">
        <v>45747</v>
      </c>
    </row>
    <row r="80" spans="1:11" s="1" customFormat="1" x14ac:dyDescent="0.3">
      <c r="A80" s="5" t="s">
        <v>22</v>
      </c>
      <c r="B80">
        <v>167.28</v>
      </c>
      <c r="C80">
        <v>49.01</v>
      </c>
      <c r="D80">
        <v>183</v>
      </c>
      <c r="E80">
        <v>60.28</v>
      </c>
      <c r="F80">
        <v>764.66</v>
      </c>
      <c r="G80">
        <v>1001.9</v>
      </c>
      <c r="H80">
        <v>823.84</v>
      </c>
      <c r="I80">
        <v>649.91999999999996</v>
      </c>
      <c r="J80">
        <v>874.06</v>
      </c>
      <c r="K80">
        <v>624.70000000000005</v>
      </c>
    </row>
    <row r="81" spans="1:11" s="5" customFormat="1" x14ac:dyDescent="0.3">
      <c r="A81" s="5" t="s">
        <v>23</v>
      </c>
      <c r="B81">
        <v>-169.38</v>
      </c>
      <c r="C81">
        <v>-352.55</v>
      </c>
      <c r="D81">
        <v>-524.73</v>
      </c>
      <c r="E81">
        <v>-162.55000000000001</v>
      </c>
      <c r="F81">
        <v>-427.92</v>
      </c>
      <c r="G81">
        <v>-396.16</v>
      </c>
      <c r="H81">
        <v>-424.05</v>
      </c>
      <c r="I81">
        <v>-276.05</v>
      </c>
      <c r="J81">
        <v>-717.26</v>
      </c>
      <c r="K81">
        <v>-1489.42</v>
      </c>
    </row>
    <row r="82" spans="1:11" s="5" customFormat="1" x14ac:dyDescent="0.3">
      <c r="A82" s="5" t="s">
        <v>24</v>
      </c>
      <c r="B82">
        <v>4.33</v>
      </c>
      <c r="C82">
        <v>304.62</v>
      </c>
      <c r="D82">
        <v>345.31</v>
      </c>
      <c r="E82">
        <v>95.81</v>
      </c>
      <c r="F82">
        <v>-337.56</v>
      </c>
      <c r="G82">
        <v>-598.99</v>
      </c>
      <c r="H82">
        <v>-385.83</v>
      </c>
      <c r="I82">
        <v>-359.08</v>
      </c>
      <c r="J82">
        <v>43.53</v>
      </c>
      <c r="K82">
        <v>806.16</v>
      </c>
    </row>
    <row r="83" spans="1:11" s="1" customFormat="1" x14ac:dyDescent="0.3">
      <c r="A83" s="5" t="s">
        <v>25</v>
      </c>
      <c r="B83">
        <v>2.23</v>
      </c>
      <c r="C83">
        <v>1.07</v>
      </c>
      <c r="D83">
        <v>3.59</v>
      </c>
      <c r="E83">
        <v>-6.46</v>
      </c>
      <c r="F83">
        <v>-0.82</v>
      </c>
      <c r="G83">
        <v>6.75</v>
      </c>
      <c r="H83">
        <v>13.96</v>
      </c>
      <c r="I83">
        <v>14.79</v>
      </c>
      <c r="J83">
        <v>200.33</v>
      </c>
      <c r="K83">
        <v>-58.56</v>
      </c>
    </row>
    <row r="84" spans="1:11" x14ac:dyDescent="0.3">
      <c r="A84" s="5"/>
    </row>
    <row r="85" spans="1:11" x14ac:dyDescent="0.3">
      <c r="A85" s="5"/>
    </row>
    <row r="86" spans="1:11" x14ac:dyDescent="0.3">
      <c r="A86" s="5"/>
    </row>
    <row r="87" spans="1:11" x14ac:dyDescent="0.3">
      <c r="A87" s="5"/>
    </row>
    <row r="88" spans="1:11" s="1" customFormat="1" x14ac:dyDescent="0.3">
      <c r="A88" s="1" t="s">
        <v>48</v>
      </c>
      <c r="B88">
        <v>68</v>
      </c>
      <c r="C88">
        <v>131.25</v>
      </c>
      <c r="D88">
        <v>247.9</v>
      </c>
      <c r="E88">
        <v>274.14999999999998</v>
      </c>
      <c r="F88">
        <v>385.05</v>
      </c>
      <c r="G88">
        <v>1656.5</v>
      </c>
      <c r="H88">
        <v>2243.75</v>
      </c>
      <c r="I88">
        <v>1842.6</v>
      </c>
      <c r="J88">
        <v>2125.5</v>
      </c>
      <c r="K88">
        <v>1983.6</v>
      </c>
    </row>
    <row r="90" spans="1:11" s="1" customFormat="1" x14ac:dyDescent="0.3">
      <c r="A90" s="1" t="s">
        <v>47</v>
      </c>
    </row>
    <row r="91" spans="1:11" x14ac:dyDescent="0.3">
      <c r="A91" s="3" t="s">
        <v>60</v>
      </c>
      <c r="B91" s="12">
        <v>11.63</v>
      </c>
      <c r="C91" s="12">
        <v>13.07</v>
      </c>
      <c r="D91" s="12">
        <v>13.64</v>
      </c>
      <c r="E91" s="12">
        <v>13.64</v>
      </c>
      <c r="F91" s="12">
        <v>13.64</v>
      </c>
      <c r="G91" s="12">
        <v>13.64</v>
      </c>
      <c r="H91" s="12">
        <v>13.64</v>
      </c>
      <c r="I91" s="12">
        <v>13.64</v>
      </c>
      <c r="J91" s="12">
        <v>13.64</v>
      </c>
      <c r="K91" s="12">
        <v>13.64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55AD-A8C1-4115-985D-70A07EBEA64F}">
  <dimension ref="A2:N28"/>
  <sheetViews>
    <sheetView zoomScale="85" zoomScaleNormal="85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20.77734375" customWidth="1"/>
    <col min="2" max="14" width="12.77734375" customWidth="1"/>
  </cols>
  <sheetData>
    <row r="2" spans="1:14" x14ac:dyDescent="0.3">
      <c r="B2" s="2" t="s">
        <v>115</v>
      </c>
      <c r="I2" s="13" t="s">
        <v>78</v>
      </c>
    </row>
    <row r="4" spans="1:14" x14ac:dyDescent="0.3">
      <c r="A4" s="17" t="s">
        <v>99</v>
      </c>
      <c r="B4" s="17">
        <v>2016</v>
      </c>
      <c r="C4" s="17">
        <v>2017</v>
      </c>
      <c r="D4" s="17">
        <v>2018</v>
      </c>
      <c r="E4" s="17">
        <v>2019</v>
      </c>
      <c r="F4" s="17">
        <v>2020</v>
      </c>
      <c r="G4" s="17">
        <v>2021</v>
      </c>
      <c r="H4" s="17">
        <v>2022</v>
      </c>
      <c r="I4" s="17">
        <v>2023</v>
      </c>
      <c r="J4" s="17">
        <v>2024</v>
      </c>
      <c r="K4" s="17">
        <v>2025</v>
      </c>
      <c r="L4" s="17" t="s">
        <v>1</v>
      </c>
      <c r="M4" s="17" t="s">
        <v>100</v>
      </c>
      <c r="N4" s="17" t="s">
        <v>101</v>
      </c>
    </row>
    <row r="5" spans="1:14" x14ac:dyDescent="0.3">
      <c r="A5" t="s">
        <v>80</v>
      </c>
      <c r="B5" s="18">
        <f>'Data Sheet'!B15</f>
        <v>1372.93</v>
      </c>
      <c r="C5" s="18">
        <f>'Data Sheet'!C15</f>
        <v>1370.71</v>
      </c>
      <c r="D5" s="18">
        <f>'Data Sheet'!D15</f>
        <v>1651.45</v>
      </c>
      <c r="E5" s="18">
        <f>'Data Sheet'!E15</f>
        <v>2699.92</v>
      </c>
      <c r="F5" s="18">
        <f>'Data Sheet'!F15</f>
        <v>4229.71</v>
      </c>
      <c r="G5" s="18">
        <f>'Data Sheet'!G15</f>
        <v>4359.75</v>
      </c>
      <c r="H5" s="18">
        <f>'Data Sheet'!H15</f>
        <v>6802.19</v>
      </c>
      <c r="I5" s="18">
        <f>'Data Sheet'!I15</f>
        <v>7972.06</v>
      </c>
      <c r="J5" s="18">
        <f>'Data Sheet'!J15</f>
        <v>7681.83</v>
      </c>
      <c r="K5" s="18">
        <f>'Data Sheet'!K15</f>
        <v>8281.93</v>
      </c>
      <c r="L5" s="18">
        <f>SUM(Quarters[[#This Row],[Column8]:[Column11]])</f>
        <v>7874.8600000000006</v>
      </c>
      <c r="M5" s="18">
        <f>K5+M26*K5</f>
        <v>8928.9094558067536</v>
      </c>
      <c r="N5" s="18">
        <f>K5+K5*N26</f>
        <v>8843.5334145140241</v>
      </c>
    </row>
    <row r="6" spans="1:14" x14ac:dyDescent="0.3">
      <c r="A6" t="s">
        <v>102</v>
      </c>
      <c r="B6" s="18">
        <f>SUM('Data Sheet'!B16,'Data Sheet'!B18:B22,-1*'Data Sheet'!B17)</f>
        <v>1204.3699999999999</v>
      </c>
      <c r="C6" s="18">
        <f>SUM('Data Sheet'!C16,'Data Sheet'!C18:C22,-1*'Data Sheet'!C17)</f>
        <v>1231.2199999999998</v>
      </c>
      <c r="D6" s="18">
        <f>SUM('Data Sheet'!D16,'Data Sheet'!D18:D22,-1*'Data Sheet'!D17)</f>
        <v>1447.4000000000003</v>
      </c>
      <c r="E6" s="18">
        <f>SUM('Data Sheet'!E16,'Data Sheet'!E18:E22,-1*'Data Sheet'!E17)</f>
        <v>2278.4399999999996</v>
      </c>
      <c r="F6" s="18">
        <f>SUM('Data Sheet'!F16,'Data Sheet'!F18:F22,-1*'Data Sheet'!F17)</f>
        <v>3194.48</v>
      </c>
      <c r="G6" s="18">
        <f>SUM('Data Sheet'!G16,'Data Sheet'!G18:G22,-1*'Data Sheet'!G17)</f>
        <v>3107.7299999999996</v>
      </c>
      <c r="H6" s="18">
        <f>SUM('Data Sheet'!H16,'Data Sheet'!H18:H22,-1*'Data Sheet'!H17)</f>
        <v>5195.5199999999995</v>
      </c>
      <c r="I6" s="18">
        <f>SUM('Data Sheet'!I16,'Data Sheet'!I18:I22,-1*'Data Sheet'!I17)</f>
        <v>6679.63</v>
      </c>
      <c r="J6" s="18">
        <f>SUM('Data Sheet'!J16,'Data Sheet'!J18:J22,-1*'Data Sheet'!J17)</f>
        <v>6555.28</v>
      </c>
      <c r="K6" s="18">
        <f>SUM('Data Sheet'!K16,'Data Sheet'!K18:K22,-1*'Data Sheet'!K17)</f>
        <v>7186.8700000000008</v>
      </c>
      <c r="L6" s="18">
        <f>SUM(Quarters[[#This Row],[Column8]:[Column11]])</f>
        <v>6995.98</v>
      </c>
      <c r="M6" s="18">
        <f>M5-M7</f>
        <v>7651.4210978030969</v>
      </c>
      <c r="N6" s="18">
        <f>N5-N7</f>
        <v>7866.5653146112963</v>
      </c>
    </row>
    <row r="7" spans="1:14" s="2" customFormat="1" x14ac:dyDescent="0.3">
      <c r="A7" s="2" t="s">
        <v>103</v>
      </c>
      <c r="B7" s="19">
        <f>B5-B6</f>
        <v>168.56000000000017</v>
      </c>
      <c r="C7" s="19">
        <f t="shared" ref="C7:K7" si="0">C5-C6</f>
        <v>139.49000000000024</v>
      </c>
      <c r="D7" s="19">
        <f t="shared" si="0"/>
        <v>204.04999999999973</v>
      </c>
      <c r="E7" s="19">
        <f t="shared" si="0"/>
        <v>421.48000000000047</v>
      </c>
      <c r="F7" s="19">
        <f t="shared" si="0"/>
        <v>1035.23</v>
      </c>
      <c r="G7" s="19">
        <f t="shared" si="0"/>
        <v>1252.0200000000004</v>
      </c>
      <c r="H7" s="19">
        <f t="shared" si="0"/>
        <v>1606.67</v>
      </c>
      <c r="I7" s="19">
        <f t="shared" si="0"/>
        <v>1292.4300000000003</v>
      </c>
      <c r="J7" s="19">
        <f t="shared" si="0"/>
        <v>1126.5500000000002</v>
      </c>
      <c r="K7" s="19">
        <f t="shared" si="0"/>
        <v>1095.0599999999995</v>
      </c>
      <c r="L7" s="19">
        <f>SUM(Quarters[[#This Row],[Column8]:[Column11]])</f>
        <v>878.87999999999988</v>
      </c>
      <c r="M7" s="19">
        <f>K7+K7*M27</f>
        <v>1277.4883580036567</v>
      </c>
      <c r="N7" s="19">
        <f>L7+L7*N27</f>
        <v>976.96809990272823</v>
      </c>
    </row>
    <row r="8" spans="1:14" x14ac:dyDescent="0.3">
      <c r="A8" t="s">
        <v>5</v>
      </c>
      <c r="B8" s="18">
        <f>'Data Sheet'!B23</f>
        <v>-0.18</v>
      </c>
      <c r="C8" s="18">
        <f>'Data Sheet'!C23</f>
        <v>79.650000000000006</v>
      </c>
      <c r="D8" s="18">
        <f>'Data Sheet'!D23</f>
        <v>6.82</v>
      </c>
      <c r="E8" s="18">
        <f>'Data Sheet'!E23</f>
        <v>10.84</v>
      </c>
      <c r="F8" s="18">
        <f>'Data Sheet'!F23</f>
        <v>28.87</v>
      </c>
      <c r="G8" s="18">
        <f>'Data Sheet'!G23</f>
        <v>19.66</v>
      </c>
      <c r="H8" s="18">
        <f>'Data Sheet'!H23</f>
        <v>41.85</v>
      </c>
      <c r="I8" s="18">
        <f>'Data Sheet'!I23</f>
        <v>46.43</v>
      </c>
      <c r="J8" s="18">
        <f>'Data Sheet'!J23</f>
        <v>155.93</v>
      </c>
      <c r="K8" s="18">
        <f>'Data Sheet'!K23</f>
        <v>83.86</v>
      </c>
      <c r="L8" s="18">
        <f>SUM(Quarters[[#This Row],[Column8]:[Column11]])</f>
        <v>88.29</v>
      </c>
      <c r="M8" s="18"/>
      <c r="N8" s="18"/>
    </row>
    <row r="9" spans="1:14" x14ac:dyDescent="0.3">
      <c r="A9" t="s">
        <v>6</v>
      </c>
      <c r="B9" s="18">
        <f>'Data Sheet'!B24</f>
        <v>39.54</v>
      </c>
      <c r="C9" s="18">
        <f>'Data Sheet'!C24</f>
        <v>48.04</v>
      </c>
      <c r="D9" s="18">
        <f>'Data Sheet'!D24</f>
        <v>52.6</v>
      </c>
      <c r="E9" s="18">
        <f>'Data Sheet'!E24</f>
        <v>77.790000000000006</v>
      </c>
      <c r="F9" s="18">
        <f>'Data Sheet'!F24</f>
        <v>139.72999999999999</v>
      </c>
      <c r="G9" s="18">
        <f>'Data Sheet'!G24</f>
        <v>152.63</v>
      </c>
      <c r="H9" s="18">
        <f>'Data Sheet'!H24</f>
        <v>177.7</v>
      </c>
      <c r="I9" s="18">
        <f>'Data Sheet'!I24</f>
        <v>166.3</v>
      </c>
      <c r="J9" s="18">
        <f>'Data Sheet'!J24</f>
        <v>165.66</v>
      </c>
      <c r="K9" s="18">
        <f>'Data Sheet'!K24</f>
        <v>195.37</v>
      </c>
      <c r="L9" s="18">
        <f>SUM(Quarters[[#This Row],[Column8]:[Column11]])</f>
        <v>203.97</v>
      </c>
      <c r="M9" s="18">
        <f>SUM(Quarters[[#This Row],[Column8]:[Column11]])</f>
        <v>203.97</v>
      </c>
      <c r="N9" s="18">
        <f>SUM(Quarters[[#This Row],[Column8]:[Column11]])</f>
        <v>203.97</v>
      </c>
    </row>
    <row r="10" spans="1:14" x14ac:dyDescent="0.3">
      <c r="A10" t="s">
        <v>81</v>
      </c>
      <c r="B10" s="18">
        <f>B12+B11</f>
        <v>128.84</v>
      </c>
      <c r="C10" s="18">
        <f t="shared" ref="C10:L10" si="1">C12+C11</f>
        <v>171.1</v>
      </c>
      <c r="D10" s="18">
        <f t="shared" si="1"/>
        <v>158.26999999999998</v>
      </c>
      <c r="E10" s="18">
        <f t="shared" si="1"/>
        <v>354.53000000000003</v>
      </c>
      <c r="F10" s="18">
        <f t="shared" si="1"/>
        <v>924.37</v>
      </c>
      <c r="G10" s="18">
        <f t="shared" si="1"/>
        <v>1119.05</v>
      </c>
      <c r="H10" s="18">
        <f t="shared" si="1"/>
        <v>1470.82</v>
      </c>
      <c r="I10" s="18">
        <f t="shared" si="1"/>
        <v>1172.5600000000002</v>
      </c>
      <c r="J10" s="18">
        <f t="shared" si="1"/>
        <v>1116.82</v>
      </c>
      <c r="K10" s="18">
        <f t="shared" si="1"/>
        <v>983.55</v>
      </c>
      <c r="L10" s="18">
        <f t="shared" si="1"/>
        <v>763.19999999999993</v>
      </c>
      <c r="M10" s="18">
        <f>M12+M11</f>
        <v>1073.5183580036567</v>
      </c>
      <c r="N10" s="18">
        <f>N12+N11</f>
        <v>772.9980999027282</v>
      </c>
    </row>
    <row r="11" spans="1:14" x14ac:dyDescent="0.3">
      <c r="A11" t="s">
        <v>7</v>
      </c>
      <c r="B11" s="18">
        <f>'Data Sheet'!B25</f>
        <v>39.71</v>
      </c>
      <c r="C11" s="18">
        <f>'Data Sheet'!C25</f>
        <v>36.54</v>
      </c>
      <c r="D11" s="18">
        <f>'Data Sheet'!D25</f>
        <v>47.42</v>
      </c>
      <c r="E11" s="18">
        <f>'Data Sheet'!E25</f>
        <v>86.55</v>
      </c>
      <c r="F11" s="18">
        <f>'Data Sheet'!F25</f>
        <v>117.97</v>
      </c>
      <c r="G11" s="18">
        <f>'Data Sheet'!G25</f>
        <v>77.33</v>
      </c>
      <c r="H11" s="18">
        <f>'Data Sheet'!H25</f>
        <v>36.369999999999997</v>
      </c>
      <c r="I11" s="18">
        <f>'Data Sheet'!I25</f>
        <v>26.68</v>
      </c>
      <c r="J11" s="18">
        <f>'Data Sheet'!J25</f>
        <v>15.1</v>
      </c>
      <c r="K11" s="18">
        <f>'Data Sheet'!K25</f>
        <v>30.8</v>
      </c>
      <c r="L11" s="18">
        <f>SUM(Quarters!H10:K10)</f>
        <v>31.52</v>
      </c>
      <c r="M11" s="18">
        <v>31.52</v>
      </c>
      <c r="N11" s="18">
        <v>31.52</v>
      </c>
    </row>
    <row r="12" spans="1:14" s="2" customFormat="1" x14ac:dyDescent="0.3">
      <c r="A12" s="2" t="s">
        <v>8</v>
      </c>
      <c r="B12" s="19">
        <f>'Data Sheet'!B26</f>
        <v>89.13</v>
      </c>
      <c r="C12" s="19">
        <f>'Data Sheet'!C26</f>
        <v>134.56</v>
      </c>
      <c r="D12" s="19">
        <f>'Data Sheet'!D26</f>
        <v>110.85</v>
      </c>
      <c r="E12" s="19">
        <f>'Data Sheet'!E26</f>
        <v>267.98</v>
      </c>
      <c r="F12" s="19">
        <f>'Data Sheet'!F26</f>
        <v>806.4</v>
      </c>
      <c r="G12" s="19">
        <f>'Data Sheet'!G26</f>
        <v>1041.72</v>
      </c>
      <c r="H12" s="19">
        <f>'Data Sheet'!H26</f>
        <v>1434.45</v>
      </c>
      <c r="I12" s="19">
        <f>'Data Sheet'!I26</f>
        <v>1145.8800000000001</v>
      </c>
      <c r="J12" s="19">
        <f>'Data Sheet'!J26</f>
        <v>1101.72</v>
      </c>
      <c r="K12" s="19">
        <f>'Data Sheet'!K26</f>
        <v>952.75</v>
      </c>
      <c r="L12" s="19">
        <f>SUM(Quarters!H11:K11)</f>
        <v>731.68</v>
      </c>
      <c r="M12" s="19">
        <f>M7-M9-M11</f>
        <v>1041.9983580036567</v>
      </c>
      <c r="N12" s="19">
        <f>N7-N9-N11</f>
        <v>741.47809990272822</v>
      </c>
    </row>
    <row r="13" spans="1:14" x14ac:dyDescent="0.3">
      <c r="A13" t="s">
        <v>9</v>
      </c>
      <c r="B13" s="18">
        <f>'Data Sheet'!B27</f>
        <v>26.23</v>
      </c>
      <c r="C13" s="18">
        <f>'Data Sheet'!C27</f>
        <v>38.24</v>
      </c>
      <c r="D13" s="18">
        <f>'Data Sheet'!D27</f>
        <v>31.84</v>
      </c>
      <c r="E13" s="18">
        <f>'Data Sheet'!E27</f>
        <v>94.32</v>
      </c>
      <c r="F13" s="18">
        <f>'Data Sheet'!F27</f>
        <v>195.37</v>
      </c>
      <c r="G13" s="18">
        <f>'Data Sheet'!G27</f>
        <v>265.91000000000003</v>
      </c>
      <c r="H13" s="18">
        <f>'Data Sheet'!H27</f>
        <v>367.81</v>
      </c>
      <c r="I13" s="18">
        <f>'Data Sheet'!I27</f>
        <v>293.88</v>
      </c>
      <c r="J13" s="18">
        <f>'Data Sheet'!J27</f>
        <v>290.83</v>
      </c>
      <c r="K13" s="18">
        <f>'Data Sheet'!K27</f>
        <v>255.38</v>
      </c>
      <c r="L13" s="18">
        <f>SUM(Quarters!H12:K12)</f>
        <v>200.05</v>
      </c>
      <c r="M13" s="18">
        <f>K13/K12*M12</f>
        <v>279.3025879474929</v>
      </c>
      <c r="N13" s="18">
        <f>L13/L12*N12</f>
        <v>202.7289168564684</v>
      </c>
    </row>
    <row r="14" spans="1:14" s="2" customFormat="1" x14ac:dyDescent="0.3">
      <c r="A14" s="2" t="s">
        <v>10</v>
      </c>
      <c r="B14" s="19">
        <f>'Data Sheet'!B28</f>
        <v>62.73</v>
      </c>
      <c r="C14" s="19">
        <f>'Data Sheet'!C28</f>
        <v>96.32</v>
      </c>
      <c r="D14" s="19">
        <f>'Data Sheet'!D28</f>
        <v>79.02</v>
      </c>
      <c r="E14" s="19">
        <f>'Data Sheet'!E28</f>
        <v>173.66</v>
      </c>
      <c r="F14" s="19">
        <f>'Data Sheet'!F28</f>
        <v>611.03</v>
      </c>
      <c r="G14" s="19">
        <f>'Data Sheet'!G28</f>
        <v>775.81</v>
      </c>
      <c r="H14" s="19">
        <f>'Data Sheet'!H28</f>
        <v>1066.6400000000001</v>
      </c>
      <c r="I14" s="19">
        <f>'Data Sheet'!I28</f>
        <v>852</v>
      </c>
      <c r="J14" s="19">
        <f>'Data Sheet'!J28</f>
        <v>810.9</v>
      </c>
      <c r="K14" s="19">
        <f>'Data Sheet'!K28</f>
        <v>697.24</v>
      </c>
      <c r="L14" s="19">
        <f>SUM(Quarters!H13:K13)</f>
        <v>531.41</v>
      </c>
      <c r="M14" s="19">
        <f>M12-M13</f>
        <v>762.69577005616384</v>
      </c>
      <c r="N14" s="19">
        <f>N12-N13</f>
        <v>538.74918304625976</v>
      </c>
    </row>
    <row r="15" spans="1:14" x14ac:dyDescent="0.3">
      <c r="A15" t="s">
        <v>37</v>
      </c>
      <c r="B15" s="18">
        <f>B14/'Data Sheet'!B91</f>
        <v>5.3938091143594145</v>
      </c>
      <c r="C15" s="18">
        <f>C14/'Data Sheet'!C91</f>
        <v>7.3695485845447584</v>
      </c>
      <c r="D15" s="18">
        <f>D14/'Data Sheet'!D91</f>
        <v>5.7932551319648091</v>
      </c>
      <c r="E15" s="18">
        <f>E14/'Data Sheet'!E91</f>
        <v>12.731671554252198</v>
      </c>
      <c r="F15" s="18">
        <f>F14/'Data Sheet'!F91</f>
        <v>44.796920821114362</v>
      </c>
      <c r="G15" s="18">
        <f>G14/'Data Sheet'!G91</f>
        <v>56.877565982404683</v>
      </c>
      <c r="H15" s="18">
        <f>H14/'Data Sheet'!H91</f>
        <v>78.199413489736074</v>
      </c>
      <c r="I15" s="18">
        <f>I14/'Data Sheet'!I91</f>
        <v>62.463343108504397</v>
      </c>
      <c r="J15" s="18">
        <f>J14/'Data Sheet'!J91</f>
        <v>59.450146627565978</v>
      </c>
      <c r="K15" s="18">
        <f>K14/'Data Sheet'!K91</f>
        <v>51.117302052785924</v>
      </c>
      <c r="L15" s="18">
        <f>L14/'Data Sheet'!$B$4</f>
        <v>38.961698713151968</v>
      </c>
      <c r="M15" s="18">
        <f>M14/'Data Sheet'!$B$4</f>
        <v>55.919013196446599</v>
      </c>
      <c r="N15" s="18">
        <f>N14/'Data Sheet'!$B$4</f>
        <v>39.499789901968597</v>
      </c>
    </row>
    <row r="16" spans="1:14" s="2" customFormat="1" x14ac:dyDescent="0.3">
      <c r="A16" s="2" t="s">
        <v>105</v>
      </c>
      <c r="B16" s="19">
        <f>B17/B15</f>
        <v>12.607046070460706</v>
      </c>
      <c r="C16" s="19">
        <f t="shared" ref="C16:L16" si="2">C17/C15</f>
        <v>17.809774709302328</v>
      </c>
      <c r="D16" s="19">
        <f t="shared" si="2"/>
        <v>42.791141483168822</v>
      </c>
      <c r="E16" s="19">
        <f t="shared" si="2"/>
        <v>21.532914891166648</v>
      </c>
      <c r="F16" s="19">
        <f t="shared" si="2"/>
        <v>8.5954568515457517</v>
      </c>
      <c r="G16" s="19">
        <f t="shared" si="2"/>
        <v>29.123960763589029</v>
      </c>
      <c r="H16" s="19">
        <f t="shared" si="2"/>
        <v>28.692670441761042</v>
      </c>
      <c r="I16" s="19">
        <f t="shared" si="2"/>
        <v>29.498901408450703</v>
      </c>
      <c r="J16" s="19">
        <f t="shared" si="2"/>
        <v>35.752645209027008</v>
      </c>
      <c r="K16" s="19">
        <f t="shared" si="2"/>
        <v>38.804864895875163</v>
      </c>
      <c r="L16" s="19">
        <f t="shared" si="2"/>
        <v>43.379782089159029</v>
      </c>
      <c r="M16" s="19">
        <f>M28</f>
        <v>43.379782089159029</v>
      </c>
      <c r="N16" s="19">
        <f>N28</f>
        <v>26.520937672434719</v>
      </c>
    </row>
    <row r="17" spans="1:14" s="2" customFormat="1" x14ac:dyDescent="0.3">
      <c r="A17" s="2" t="s">
        <v>104</v>
      </c>
      <c r="B17" s="19">
        <f>'Data Sheet'!B88</f>
        <v>68</v>
      </c>
      <c r="C17" s="19">
        <f>'Data Sheet'!C88</f>
        <v>131.25</v>
      </c>
      <c r="D17" s="19">
        <f>'Data Sheet'!D88</f>
        <v>247.9</v>
      </c>
      <c r="E17" s="19">
        <f>'Data Sheet'!E88</f>
        <v>274.14999999999998</v>
      </c>
      <c r="F17" s="19">
        <f>'Data Sheet'!F88</f>
        <v>385.05</v>
      </c>
      <c r="G17" s="19">
        <f>'Data Sheet'!G88</f>
        <v>1656.5</v>
      </c>
      <c r="H17" s="19">
        <f>'Data Sheet'!H88</f>
        <v>2243.75</v>
      </c>
      <c r="I17" s="19">
        <f>'Data Sheet'!I88</f>
        <v>1842.6</v>
      </c>
      <c r="J17" s="19">
        <f>'Data Sheet'!J88</f>
        <v>2125.5</v>
      </c>
      <c r="K17" s="19">
        <f>'Data Sheet'!K88</f>
        <v>1983.6</v>
      </c>
      <c r="L17" s="19">
        <f>'Data Sheet'!B6</f>
        <v>1690.15</v>
      </c>
      <c r="M17" s="23">
        <f>M15*M16</f>
        <v>2425.7546071026618</v>
      </c>
      <c r="N17" s="24">
        <f>N15*N16</f>
        <v>1047.5714660643755</v>
      </c>
    </row>
    <row r="18" spans="1:14" x14ac:dyDescent="0.3">
      <c r="A18" s="16" t="s">
        <v>107</v>
      </c>
      <c r="B18" s="18">
        <f>'Data Sheet'!B29</f>
        <v>13.96</v>
      </c>
      <c r="C18" s="18">
        <f>'Data Sheet'!C29</f>
        <v>15.68</v>
      </c>
      <c r="D18" s="18">
        <f>'Data Sheet'!D29</f>
        <v>17.73</v>
      </c>
      <c r="E18" s="18">
        <f>'Data Sheet'!E29</f>
        <v>27.28</v>
      </c>
      <c r="F18" s="18">
        <f>'Data Sheet'!F29</f>
        <v>61.38</v>
      </c>
      <c r="G18" s="18">
        <f>'Data Sheet'!G29</f>
        <v>75.02</v>
      </c>
      <c r="H18" s="18">
        <f>'Data Sheet'!H29</f>
        <v>95.48</v>
      </c>
      <c r="I18" s="18">
        <f>'Data Sheet'!I29</f>
        <v>102.3</v>
      </c>
      <c r="J18" s="18">
        <f>'Data Sheet'!J29</f>
        <v>102.3</v>
      </c>
      <c r="K18" s="18">
        <f>'Data Sheet'!K29</f>
        <v>102.3</v>
      </c>
      <c r="L18" s="18"/>
    </row>
    <row r="19" spans="1:14" x14ac:dyDescent="0.3">
      <c r="A19" s="16"/>
      <c r="B19" s="18"/>
    </row>
    <row r="20" spans="1:14" x14ac:dyDescent="0.3">
      <c r="A20" s="2" t="s">
        <v>106</v>
      </c>
    </row>
    <row r="21" spans="1:14" x14ac:dyDescent="0.3">
      <c r="A21" s="16" t="s">
        <v>11</v>
      </c>
      <c r="B21" s="4">
        <f>B18/B14</f>
        <v>0.22254104893990118</v>
      </c>
      <c r="C21" s="4">
        <f t="shared" ref="C21:K21" si="3">C18/C14</f>
        <v>0.16279069767441862</v>
      </c>
      <c r="D21" s="4">
        <f t="shared" si="3"/>
        <v>0.22437357630979501</v>
      </c>
      <c r="E21" s="4">
        <f t="shared" si="3"/>
        <v>0.15708856386041692</v>
      </c>
      <c r="F21" s="4">
        <f t="shared" si="3"/>
        <v>0.10045333289691179</v>
      </c>
      <c r="G21" s="4">
        <f t="shared" si="3"/>
        <v>9.6698934017349608E-2</v>
      </c>
      <c r="H21" s="4">
        <f t="shared" si="3"/>
        <v>8.95147378684467E-2</v>
      </c>
      <c r="I21" s="4">
        <f t="shared" si="3"/>
        <v>0.12007042253521126</v>
      </c>
      <c r="J21" s="4">
        <f t="shared" si="3"/>
        <v>0.12615612282648908</v>
      </c>
      <c r="K21" s="4">
        <f t="shared" si="3"/>
        <v>0.14672135849922552</v>
      </c>
      <c r="L21" s="4"/>
    </row>
    <row r="22" spans="1:14" s="2" customFormat="1" x14ac:dyDescent="0.3">
      <c r="A22" s="2" t="s">
        <v>12</v>
      </c>
      <c r="B22" s="9">
        <f>B7/B5</f>
        <v>0.12277392146722714</v>
      </c>
      <c r="C22" s="9">
        <f t="shared" ref="C22:L22" si="4">C7/C5</f>
        <v>0.10176477883724511</v>
      </c>
      <c r="D22" s="9">
        <f t="shared" si="4"/>
        <v>0.12355808531896195</v>
      </c>
      <c r="E22" s="9">
        <f t="shared" si="4"/>
        <v>0.15610832913567826</v>
      </c>
      <c r="F22" s="9">
        <f t="shared" si="4"/>
        <v>0.24475200427452473</v>
      </c>
      <c r="G22" s="9">
        <f t="shared" si="4"/>
        <v>0.28717701703079312</v>
      </c>
      <c r="H22" s="9">
        <f t="shared" si="4"/>
        <v>0.23619893005046907</v>
      </c>
      <c r="I22" s="9">
        <f t="shared" si="4"/>
        <v>0.16211995393913245</v>
      </c>
      <c r="J22" s="9">
        <f t="shared" si="4"/>
        <v>0.14665125367262752</v>
      </c>
      <c r="K22" s="9">
        <f t="shared" si="4"/>
        <v>0.13222280313888182</v>
      </c>
      <c r="L22" s="9">
        <f t="shared" si="4"/>
        <v>0.11160579362680731</v>
      </c>
    </row>
    <row r="25" spans="1:14" x14ac:dyDescent="0.3">
      <c r="A25" s="17"/>
      <c r="B25" s="17"/>
      <c r="C25" s="17"/>
      <c r="D25" s="17"/>
      <c r="E25" s="17"/>
      <c r="F25" s="17"/>
      <c r="G25" s="17" t="s">
        <v>108</v>
      </c>
      <c r="H25" s="17" t="s">
        <v>109</v>
      </c>
      <c r="I25" s="17" t="s">
        <v>110</v>
      </c>
      <c r="J25" s="17" t="s">
        <v>111</v>
      </c>
      <c r="K25" s="17" t="s">
        <v>112</v>
      </c>
      <c r="L25" s="17" t="s">
        <v>113</v>
      </c>
      <c r="M25" s="17" t="s">
        <v>100</v>
      </c>
      <c r="N25" s="17" t="s">
        <v>101</v>
      </c>
    </row>
    <row r="26" spans="1:14" x14ac:dyDescent="0.3">
      <c r="G26" s="16" t="s">
        <v>13</v>
      </c>
      <c r="H26" s="4">
        <f>(K5/B5)^(1/9)-1</f>
        <v>0.22101317800231812</v>
      </c>
      <c r="I26" s="4">
        <f>(K5/D5)^(1/7)-1</f>
        <v>0.25903562259674562</v>
      </c>
      <c r="J26" s="4">
        <f>(K5/F5)^(1/5)-1</f>
        <v>0.14383713698408518</v>
      </c>
      <c r="K26" s="4">
        <f>(K5/H5)^(1/3)-1</f>
        <v>6.7810693221751928E-2</v>
      </c>
      <c r="L26" s="4">
        <f>K5/J5-1</f>
        <v>7.811940644351667E-2</v>
      </c>
      <c r="M26" s="9">
        <f>MAX(K26:L26)</f>
        <v>7.811940644351667E-2</v>
      </c>
      <c r="N26" s="9">
        <f>MIN(H26:L26)</f>
        <v>6.7810693221751928E-2</v>
      </c>
    </row>
    <row r="27" spans="1:14" x14ac:dyDescent="0.3">
      <c r="G27" s="16" t="s">
        <v>12</v>
      </c>
      <c r="H27" s="4">
        <f>SUMPRODUCT(B5:K5,B22:$K$22)/SUM(B5:$K$5)</f>
        <v>0.17968751346330486</v>
      </c>
      <c r="I27" s="4">
        <f>SUMPRODUCT(D5:K5,D22:$K$22)/SUM(D5:$K$5)</f>
        <v>0.1839217799740103</v>
      </c>
      <c r="J27" s="4">
        <f>SUMPRODUCT(F5:K5,F22:$K$22)/SUM(F5:$K$5)</f>
        <v>0.18836604541304081</v>
      </c>
      <c r="K27" s="4">
        <f>SUMPRODUCT(H5:K5,H22:$K$22)/SUM(H5:$K$5)</f>
        <v>0.16659211185109249</v>
      </c>
      <c r="L27" s="4">
        <f>L22</f>
        <v>0.11160579362680731</v>
      </c>
      <c r="M27" s="9">
        <f>MAX(K27:L27)</f>
        <v>0.16659211185109249</v>
      </c>
      <c r="N27" s="9">
        <f>MIN(H27:L27)</f>
        <v>0.11160579362680731</v>
      </c>
    </row>
    <row r="28" spans="1:14" x14ac:dyDescent="0.3">
      <c r="G28" s="16" t="s">
        <v>114</v>
      </c>
      <c r="H28" s="18">
        <f>AVERAGE(B16:K16)</f>
        <v>26.520937672434719</v>
      </c>
      <c r="I28" s="18">
        <f>AVERAGE(D16:K16)</f>
        <v>29.349069493073021</v>
      </c>
      <c r="J28" s="18">
        <f>AVERAGE(F16:K16)</f>
        <v>28.411416595041455</v>
      </c>
      <c r="K28" s="18">
        <f>AVERAGE(H16:K16)</f>
        <v>33.187270488778481</v>
      </c>
      <c r="L28" s="18">
        <f>L16</f>
        <v>43.379782089159029</v>
      </c>
      <c r="M28" s="19">
        <f>MAX(K28:L28)</f>
        <v>43.379782089159029</v>
      </c>
      <c r="N28" s="19">
        <f>MIN(H28:L28)</f>
        <v>26.520937672434719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L23"/>
  <sheetViews>
    <sheetView zoomScale="93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C20" sqref="C20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2" s="2" customFormat="1" x14ac:dyDescent="0.3">
      <c r="E1"/>
    </row>
    <row r="2" spans="1:12" s="2" customFormat="1" x14ac:dyDescent="0.3">
      <c r="A2" s="2" t="s">
        <v>28</v>
      </c>
      <c r="D2" s="13" t="s">
        <v>78</v>
      </c>
      <c r="E2"/>
    </row>
    <row r="4" spans="1:12" s="2" customFormat="1" x14ac:dyDescent="0.3">
      <c r="A4" s="17" t="s">
        <v>0</v>
      </c>
      <c r="B4" s="21">
        <f>'Data Sheet'!B39</f>
        <v>45107</v>
      </c>
      <c r="C4" s="21">
        <f>'Data Sheet'!C39</f>
        <v>45199</v>
      </c>
      <c r="D4" s="21">
        <f>'Data Sheet'!D39</f>
        <v>45291</v>
      </c>
      <c r="E4" s="21">
        <f>'Data Sheet'!E39</f>
        <v>45382</v>
      </c>
      <c r="F4" s="21">
        <f>'Data Sheet'!F39</f>
        <v>45473</v>
      </c>
      <c r="G4" s="21">
        <f>'Data Sheet'!G39</f>
        <v>45565</v>
      </c>
      <c r="H4" s="21">
        <f>'Data Sheet'!H39</f>
        <v>45657</v>
      </c>
      <c r="I4" s="21">
        <f>'Data Sheet'!I39</f>
        <v>45747</v>
      </c>
      <c r="J4" s="21">
        <f>'Data Sheet'!J39</f>
        <v>45838</v>
      </c>
      <c r="K4" s="21">
        <f>'Data Sheet'!K39</f>
        <v>45930</v>
      </c>
    </row>
    <row r="5" spans="1:12" s="2" customFormat="1" x14ac:dyDescent="0.3">
      <c r="A5" s="2" t="s">
        <v>2</v>
      </c>
      <c r="B5" s="1">
        <f>'Data Sheet'!B40</f>
        <v>1768.34</v>
      </c>
      <c r="C5" s="1">
        <f>'Data Sheet'!C40</f>
        <v>1778.05</v>
      </c>
      <c r="D5" s="1">
        <f>'Data Sheet'!D40</f>
        <v>2009.23</v>
      </c>
      <c r="E5" s="1">
        <f>'Data Sheet'!E40</f>
        <v>2126.21</v>
      </c>
      <c r="F5" s="1">
        <f>'Data Sheet'!F40</f>
        <v>2166.84</v>
      </c>
      <c r="G5" s="1">
        <f>'Data Sheet'!G40</f>
        <v>2032</v>
      </c>
      <c r="H5" s="1">
        <f>'Data Sheet'!H40</f>
        <v>1903.4</v>
      </c>
      <c r="I5" s="1">
        <f>'Data Sheet'!I40</f>
        <v>2179.69</v>
      </c>
      <c r="J5" s="1">
        <f>'Data Sheet'!J40</f>
        <v>1889.88</v>
      </c>
      <c r="K5" s="1">
        <f>'Data Sheet'!K40</f>
        <v>1901.89</v>
      </c>
      <c r="L5" s="5"/>
    </row>
    <row r="6" spans="1:12" x14ac:dyDescent="0.3">
      <c r="A6" t="s">
        <v>3</v>
      </c>
      <c r="B6" s="5">
        <f>'Data Sheet'!B41</f>
        <v>1558.59</v>
      </c>
      <c r="C6" s="5">
        <f>'Data Sheet'!C41</f>
        <v>1475.79</v>
      </c>
      <c r="D6" s="5">
        <f>'Data Sheet'!D41</f>
        <v>1704.58</v>
      </c>
      <c r="E6" s="5">
        <f>'Data Sheet'!E41</f>
        <v>1825.09</v>
      </c>
      <c r="F6" s="5">
        <f>'Data Sheet'!F41</f>
        <v>1857.65</v>
      </c>
      <c r="G6" s="5">
        <f>'Data Sheet'!G41</f>
        <v>1734.48</v>
      </c>
      <c r="H6" s="5">
        <f>'Data Sheet'!H41</f>
        <v>1734.86</v>
      </c>
      <c r="I6" s="5">
        <f>'Data Sheet'!I41</f>
        <v>1863.18</v>
      </c>
      <c r="J6" s="5">
        <f>'Data Sheet'!J41</f>
        <v>1700.32</v>
      </c>
      <c r="K6" s="5">
        <f>'Data Sheet'!K41</f>
        <v>1697.62</v>
      </c>
      <c r="L6" s="5"/>
    </row>
    <row r="7" spans="1:12" s="2" customFormat="1" x14ac:dyDescent="0.3">
      <c r="A7" s="2" t="s">
        <v>4</v>
      </c>
      <c r="B7" s="1">
        <f>'Data Sheet'!B48</f>
        <v>209.75</v>
      </c>
      <c r="C7" s="1">
        <f>'Data Sheet'!C48</f>
        <v>302.26</v>
      </c>
      <c r="D7" s="1">
        <f>'Data Sheet'!D48</f>
        <v>304.64999999999998</v>
      </c>
      <c r="E7" s="1">
        <f>'Data Sheet'!E48</f>
        <v>301.12</v>
      </c>
      <c r="F7" s="1">
        <f>'Data Sheet'!F48</f>
        <v>309.19</v>
      </c>
      <c r="G7" s="1">
        <f>'Data Sheet'!G48</f>
        <v>297.52</v>
      </c>
      <c r="H7" s="1">
        <f>'Data Sheet'!H48</f>
        <v>168.54</v>
      </c>
      <c r="I7" s="1">
        <f>'Data Sheet'!I48</f>
        <v>316.51</v>
      </c>
      <c r="J7" s="1">
        <f>'Data Sheet'!J48</f>
        <v>189.56</v>
      </c>
      <c r="K7" s="1">
        <f>'Data Sheet'!K48</f>
        <v>204.27</v>
      </c>
      <c r="L7" s="5"/>
    </row>
    <row r="8" spans="1:12" x14ac:dyDescent="0.3">
      <c r="A8" t="s">
        <v>5</v>
      </c>
      <c r="B8" s="5">
        <f>'Data Sheet'!B42</f>
        <v>31.87</v>
      </c>
      <c r="C8" s="5">
        <f>'Data Sheet'!C42</f>
        <v>17.05</v>
      </c>
      <c r="D8" s="5">
        <f>'Data Sheet'!D42</f>
        <v>13.56</v>
      </c>
      <c r="E8" s="5">
        <f>'Data Sheet'!E42</f>
        <v>98.94</v>
      </c>
      <c r="F8" s="5">
        <f>'Data Sheet'!F42</f>
        <v>18.809999999999999</v>
      </c>
      <c r="G8" s="5">
        <f>'Data Sheet'!G42</f>
        <v>21.27</v>
      </c>
      <c r="H8" s="5">
        <f>'Data Sheet'!H42</f>
        <v>20.99</v>
      </c>
      <c r="I8" s="5">
        <f>'Data Sheet'!I42</f>
        <v>22.79</v>
      </c>
      <c r="J8" s="5">
        <f>'Data Sheet'!J42</f>
        <v>24.56</v>
      </c>
      <c r="K8" s="5">
        <f>'Data Sheet'!K42</f>
        <v>19.95</v>
      </c>
      <c r="L8" s="5"/>
    </row>
    <row r="9" spans="1:12" x14ac:dyDescent="0.3">
      <c r="A9" t="s">
        <v>6</v>
      </c>
      <c r="B9" s="5">
        <f>'Data Sheet'!B43</f>
        <v>38.08</v>
      </c>
      <c r="C9" s="5">
        <f>'Data Sheet'!C43</f>
        <v>39.43</v>
      </c>
      <c r="D9" s="5">
        <f>'Data Sheet'!D43</f>
        <v>41.69</v>
      </c>
      <c r="E9" s="5">
        <f>'Data Sheet'!E43</f>
        <v>46.46</v>
      </c>
      <c r="F9" s="5">
        <f>'Data Sheet'!F43</f>
        <v>47.45</v>
      </c>
      <c r="G9" s="5">
        <f>'Data Sheet'!G43</f>
        <v>48.46</v>
      </c>
      <c r="H9" s="5">
        <f>'Data Sheet'!H43</f>
        <v>48.22</v>
      </c>
      <c r="I9" s="5">
        <f>'Data Sheet'!I43</f>
        <v>51.25</v>
      </c>
      <c r="J9" s="5">
        <f>'Data Sheet'!J43</f>
        <v>51.25</v>
      </c>
      <c r="K9" s="5">
        <f>'Data Sheet'!K43</f>
        <v>53.25</v>
      </c>
      <c r="L9" s="5"/>
    </row>
    <row r="10" spans="1:12" x14ac:dyDescent="0.3">
      <c r="A10" t="s">
        <v>7</v>
      </c>
      <c r="B10" s="5">
        <f>'Data Sheet'!B44</f>
        <v>1.81</v>
      </c>
      <c r="C10" s="5">
        <f>'Data Sheet'!C44</f>
        <v>2.68</v>
      </c>
      <c r="D10" s="5">
        <f>'Data Sheet'!D44</f>
        <v>2.93</v>
      </c>
      <c r="E10" s="5">
        <f>'Data Sheet'!E44</f>
        <v>4.41</v>
      </c>
      <c r="F10" s="5">
        <f>'Data Sheet'!F44</f>
        <v>5.75</v>
      </c>
      <c r="G10" s="5">
        <f>'Data Sheet'!G44</f>
        <v>6.3</v>
      </c>
      <c r="H10" s="5">
        <f>'Data Sheet'!H44</f>
        <v>6.11</v>
      </c>
      <c r="I10" s="5">
        <f>'Data Sheet'!I44</f>
        <v>9.34</v>
      </c>
      <c r="J10" s="5">
        <f>'Data Sheet'!J44</f>
        <v>8.1300000000000008</v>
      </c>
      <c r="K10" s="5">
        <f>'Data Sheet'!K44</f>
        <v>7.94</v>
      </c>
      <c r="L10" s="5"/>
    </row>
    <row r="11" spans="1:12" x14ac:dyDescent="0.3">
      <c r="A11" t="s">
        <v>8</v>
      </c>
      <c r="B11" s="5">
        <f>'Data Sheet'!B45</f>
        <v>201.73</v>
      </c>
      <c r="C11" s="5">
        <f>'Data Sheet'!C45</f>
        <v>277.2</v>
      </c>
      <c r="D11" s="5">
        <f>'Data Sheet'!D45</f>
        <v>273.58999999999997</v>
      </c>
      <c r="E11" s="5">
        <f>'Data Sheet'!E45</f>
        <v>349.19</v>
      </c>
      <c r="F11" s="5">
        <f>'Data Sheet'!F45</f>
        <v>274.8</v>
      </c>
      <c r="G11" s="5">
        <f>'Data Sheet'!G45</f>
        <v>264.02999999999997</v>
      </c>
      <c r="H11" s="5">
        <f>'Data Sheet'!H45</f>
        <v>135.19999999999999</v>
      </c>
      <c r="I11" s="5">
        <f>'Data Sheet'!I45</f>
        <v>278.70999999999998</v>
      </c>
      <c r="J11" s="5">
        <f>'Data Sheet'!J45</f>
        <v>154.74</v>
      </c>
      <c r="K11" s="5">
        <f>'Data Sheet'!K45</f>
        <v>163.03</v>
      </c>
      <c r="L11" s="5"/>
    </row>
    <row r="12" spans="1:12" x14ac:dyDescent="0.3">
      <c r="A12" t="s">
        <v>9</v>
      </c>
      <c r="B12" s="5">
        <f>'Data Sheet'!B46</f>
        <v>51.83</v>
      </c>
      <c r="C12" s="5">
        <f>'Data Sheet'!C46</f>
        <v>72.12</v>
      </c>
      <c r="D12" s="5">
        <f>'Data Sheet'!D46</f>
        <v>71.540000000000006</v>
      </c>
      <c r="E12" s="5">
        <f>'Data Sheet'!E46</f>
        <v>95.34</v>
      </c>
      <c r="F12" s="5">
        <f>'Data Sheet'!F46</f>
        <v>72.27</v>
      </c>
      <c r="G12" s="5">
        <f>'Data Sheet'!G46</f>
        <v>69.83</v>
      </c>
      <c r="H12" s="5">
        <f>'Data Sheet'!H46</f>
        <v>37.07</v>
      </c>
      <c r="I12" s="5">
        <f>'Data Sheet'!I46</f>
        <v>76.209999999999994</v>
      </c>
      <c r="J12" s="5">
        <f>'Data Sheet'!J46</f>
        <v>42.49</v>
      </c>
      <c r="K12" s="5">
        <f>'Data Sheet'!K46</f>
        <v>44.28</v>
      </c>
      <c r="L12" s="5"/>
    </row>
    <row r="13" spans="1:12" s="2" customFormat="1" x14ac:dyDescent="0.3">
      <c r="A13" s="2" t="s">
        <v>10</v>
      </c>
      <c r="B13" s="1">
        <f>'Data Sheet'!B47</f>
        <v>149.9</v>
      </c>
      <c r="C13" s="1">
        <f>'Data Sheet'!C47</f>
        <v>205.08</v>
      </c>
      <c r="D13" s="1">
        <f>'Data Sheet'!D47</f>
        <v>202.05</v>
      </c>
      <c r="E13" s="1">
        <f>'Data Sheet'!E47</f>
        <v>253.86</v>
      </c>
      <c r="F13" s="1">
        <f>'Data Sheet'!F47</f>
        <v>202.54</v>
      </c>
      <c r="G13" s="1">
        <f>'Data Sheet'!G47</f>
        <v>194.19</v>
      </c>
      <c r="H13" s="1">
        <f>'Data Sheet'!H47</f>
        <v>98.09</v>
      </c>
      <c r="I13" s="1">
        <f>'Data Sheet'!I47</f>
        <v>202.41</v>
      </c>
      <c r="J13" s="1">
        <f>'Data Sheet'!J47</f>
        <v>112.2</v>
      </c>
      <c r="K13" s="1">
        <f>'Data Sheet'!K47</f>
        <v>118.71</v>
      </c>
      <c r="L13" s="5"/>
    </row>
    <row r="15" spans="1:12" s="2" customFormat="1" x14ac:dyDescent="0.3">
      <c r="A15" s="2" t="s">
        <v>12</v>
      </c>
      <c r="B15" s="6">
        <f>IF(B5&gt;0,B7/B5,"")</f>
        <v>0.11861406743047152</v>
      </c>
      <c r="C15" s="6">
        <f t="shared" ref="C15:K15" si="0">IF(C5&gt;0,C7/C5,"")</f>
        <v>0.16999521948201682</v>
      </c>
      <c r="D15" s="6">
        <f t="shared" si="0"/>
        <v>0.15162524947367895</v>
      </c>
      <c r="E15" s="6">
        <f t="shared" si="0"/>
        <v>0.14162288767337186</v>
      </c>
      <c r="F15" s="6">
        <f t="shared" si="0"/>
        <v>0.1426916615901497</v>
      </c>
      <c r="G15" s="6">
        <f t="shared" si="0"/>
        <v>0.14641732283464565</v>
      </c>
      <c r="H15" s="6">
        <f t="shared" si="0"/>
        <v>8.8546810969843431E-2</v>
      </c>
      <c r="I15" s="6">
        <f t="shared" si="0"/>
        <v>0.14520872234125035</v>
      </c>
      <c r="J15" s="6">
        <f t="shared" si="0"/>
        <v>0.10030266471945308</v>
      </c>
      <c r="K15" s="6">
        <f t="shared" si="0"/>
        <v>0.10740368791044698</v>
      </c>
    </row>
    <row r="23" s="11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2:K25"/>
  <sheetViews>
    <sheetView zoomScale="104" zoomScaleNormal="100" workbookViewId="0">
      <pane xSplit="1" ySplit="4" topLeftCell="E11" activePane="bottomRight" state="frozen"/>
      <selection activeCell="C4" sqref="C4"/>
      <selection pane="topRight" activeCell="C4" sqref="C4"/>
      <selection pane="bottomLeft" activeCell="C4" sqref="C4"/>
      <selection pane="bottomRight" activeCell="L19" sqref="L19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2" spans="1:11" s="2" customFormat="1" x14ac:dyDescent="0.3">
      <c r="E2" s="2" t="s">
        <v>29</v>
      </c>
      <c r="F2"/>
      <c r="G2"/>
      <c r="H2"/>
      <c r="I2" s="13" t="s">
        <v>78</v>
      </c>
      <c r="J2"/>
      <c r="K2"/>
    </row>
    <row r="4" spans="1:11" x14ac:dyDescent="0.3">
      <c r="A4" s="17" t="s">
        <v>0</v>
      </c>
      <c r="B4" s="21">
        <f>'Data Sheet'!B54</f>
        <v>42460</v>
      </c>
      <c r="C4" s="21">
        <f>'Data Sheet'!C54</f>
        <v>42825</v>
      </c>
      <c r="D4" s="21">
        <f>'Data Sheet'!D54</f>
        <v>43190</v>
      </c>
      <c r="E4" s="21">
        <f>'Data Sheet'!E54</f>
        <v>43555</v>
      </c>
      <c r="F4" s="21">
        <f>'Data Sheet'!F54</f>
        <v>43921</v>
      </c>
      <c r="G4" s="21">
        <f>'Data Sheet'!G54</f>
        <v>44286</v>
      </c>
      <c r="H4" s="21">
        <f>'Data Sheet'!H54</f>
        <v>44651</v>
      </c>
      <c r="I4" s="21">
        <f>'Data Sheet'!I54</f>
        <v>45016</v>
      </c>
      <c r="J4" s="21">
        <f>'Data Sheet'!J54</f>
        <v>45382</v>
      </c>
      <c r="K4" s="21">
        <f>'Data Sheet'!K54</f>
        <v>45747</v>
      </c>
    </row>
    <row r="5" spans="1:11" x14ac:dyDescent="0.3">
      <c r="A5" t="s">
        <v>14</v>
      </c>
      <c r="B5" s="7">
        <f>'Data Sheet'!B55</f>
        <v>23.26</v>
      </c>
      <c r="C5" s="7">
        <f>'Data Sheet'!C55</f>
        <v>26.14</v>
      </c>
      <c r="D5" s="7">
        <f>'Data Sheet'!D55</f>
        <v>27.28</v>
      </c>
      <c r="E5" s="7">
        <f>'Data Sheet'!E55</f>
        <v>27.28</v>
      </c>
      <c r="F5" s="7">
        <f>'Data Sheet'!F55</f>
        <v>27.28</v>
      </c>
      <c r="G5" s="7">
        <f>'Data Sheet'!G55</f>
        <v>27.28</v>
      </c>
      <c r="H5" s="7">
        <f>'Data Sheet'!H55</f>
        <v>27.28</v>
      </c>
      <c r="I5" s="7">
        <f>'Data Sheet'!I55</f>
        <v>27.28</v>
      </c>
      <c r="J5" s="7">
        <f>'Data Sheet'!J55</f>
        <v>27.28</v>
      </c>
      <c r="K5" s="7">
        <f>'Data Sheet'!K55</f>
        <v>27.28</v>
      </c>
    </row>
    <row r="6" spans="1:11" x14ac:dyDescent="0.3">
      <c r="A6" t="s">
        <v>15</v>
      </c>
      <c r="B6" s="7">
        <f>'Data Sheet'!B56</f>
        <v>449.61</v>
      </c>
      <c r="C6" s="7">
        <f>'Data Sheet'!C56</f>
        <v>688.72</v>
      </c>
      <c r="D6" s="7">
        <f>'Data Sheet'!D56</f>
        <v>894.86</v>
      </c>
      <c r="E6" s="7">
        <f>'Data Sheet'!E56</f>
        <v>1044.31</v>
      </c>
      <c r="F6" s="7">
        <f>'Data Sheet'!F56</f>
        <v>1544.63</v>
      </c>
      <c r="G6" s="7">
        <f>'Data Sheet'!G56</f>
        <v>2319.37</v>
      </c>
      <c r="H6" s="7">
        <f>'Data Sheet'!H56</f>
        <v>3311.16</v>
      </c>
      <c r="I6" s="7">
        <f>'Data Sheet'!I56</f>
        <v>4062.68</v>
      </c>
      <c r="J6" s="7">
        <f>'Data Sheet'!J56</f>
        <v>4769.34</v>
      </c>
      <c r="K6" s="7">
        <f>'Data Sheet'!K56</f>
        <v>5361.39</v>
      </c>
    </row>
    <row r="7" spans="1:11" x14ac:dyDescent="0.3">
      <c r="A7" t="s">
        <v>42</v>
      </c>
      <c r="B7" s="7">
        <f>'Data Sheet'!B57</f>
        <v>528.80999999999995</v>
      </c>
      <c r="C7" s="7">
        <f>'Data Sheet'!C57</f>
        <v>723.89</v>
      </c>
      <c r="D7" s="7">
        <f>'Data Sheet'!D57</f>
        <v>986.54</v>
      </c>
      <c r="E7" s="7">
        <f>'Data Sheet'!E57</f>
        <v>1186.51</v>
      </c>
      <c r="F7" s="7">
        <f>'Data Sheet'!F57</f>
        <v>1106.8399999999999</v>
      </c>
      <c r="G7" s="7">
        <f>'Data Sheet'!G57</f>
        <v>589.74</v>
      </c>
      <c r="H7" s="7">
        <f>'Data Sheet'!H57</f>
        <v>315.02999999999997</v>
      </c>
      <c r="I7" s="7">
        <f>'Data Sheet'!I57</f>
        <v>72.86</v>
      </c>
      <c r="J7" s="7">
        <f>'Data Sheet'!J57</f>
        <v>286.08</v>
      </c>
      <c r="K7" s="7">
        <f>'Data Sheet'!K57</f>
        <v>1267.01</v>
      </c>
    </row>
    <row r="8" spans="1:11" x14ac:dyDescent="0.3">
      <c r="A8" t="s">
        <v>43</v>
      </c>
      <c r="B8" s="7">
        <f>'Data Sheet'!B58</f>
        <v>294.56</v>
      </c>
      <c r="C8" s="7">
        <f>'Data Sheet'!C58</f>
        <v>350.44</v>
      </c>
      <c r="D8" s="7">
        <f>'Data Sheet'!D58</f>
        <v>683.62</v>
      </c>
      <c r="E8" s="7">
        <f>'Data Sheet'!E58</f>
        <v>677.17</v>
      </c>
      <c r="F8" s="7">
        <f>'Data Sheet'!F58</f>
        <v>537.79</v>
      </c>
      <c r="G8" s="7">
        <f>'Data Sheet'!G58</f>
        <v>630.26</v>
      </c>
      <c r="H8" s="7">
        <f>'Data Sheet'!H58</f>
        <v>778.79</v>
      </c>
      <c r="I8" s="7">
        <f>'Data Sheet'!I58</f>
        <v>966.67</v>
      </c>
      <c r="J8" s="7">
        <f>'Data Sheet'!J58</f>
        <v>1012.18</v>
      </c>
      <c r="K8" s="7">
        <f>'Data Sheet'!K58</f>
        <v>1052.6400000000001</v>
      </c>
    </row>
    <row r="9" spans="1:11" s="2" customFormat="1" x14ac:dyDescent="0.3">
      <c r="A9" s="2" t="s">
        <v>16</v>
      </c>
      <c r="B9" s="8">
        <f>'Data Sheet'!B59</f>
        <v>1296.24</v>
      </c>
      <c r="C9" s="8">
        <f>'Data Sheet'!C59</f>
        <v>1789.19</v>
      </c>
      <c r="D9" s="8">
        <f>'Data Sheet'!D59</f>
        <v>2592.3000000000002</v>
      </c>
      <c r="E9" s="8">
        <f>'Data Sheet'!E59</f>
        <v>2935.27</v>
      </c>
      <c r="F9" s="8">
        <f>'Data Sheet'!F59</f>
        <v>3216.54</v>
      </c>
      <c r="G9" s="8">
        <f>'Data Sheet'!G59</f>
        <v>3566.65</v>
      </c>
      <c r="H9" s="8">
        <f>'Data Sheet'!H59</f>
        <v>4432.26</v>
      </c>
      <c r="I9" s="8">
        <f>'Data Sheet'!I59</f>
        <v>5129.49</v>
      </c>
      <c r="J9" s="8">
        <f>'Data Sheet'!J59</f>
        <v>6094.88</v>
      </c>
      <c r="K9" s="8">
        <f>'Data Sheet'!K59</f>
        <v>7708.32</v>
      </c>
    </row>
    <row r="10" spans="1:11" s="2" customFormat="1" x14ac:dyDescent="0.3"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3">
      <c r="A11" t="s">
        <v>17</v>
      </c>
      <c r="B11" s="7">
        <f>'Data Sheet'!B60</f>
        <v>593.75</v>
      </c>
      <c r="C11" s="7">
        <f>'Data Sheet'!C60</f>
        <v>585.92999999999995</v>
      </c>
      <c r="D11" s="7">
        <f>'Data Sheet'!D60</f>
        <v>587.55999999999995</v>
      </c>
      <c r="E11" s="7">
        <f>'Data Sheet'!E60</f>
        <v>1715.83</v>
      </c>
      <c r="F11" s="7">
        <f>'Data Sheet'!F60</f>
        <v>1831.98</v>
      </c>
      <c r="G11" s="7">
        <f>'Data Sheet'!G60</f>
        <v>1863.74</v>
      </c>
      <c r="H11" s="7">
        <f>'Data Sheet'!H60</f>
        <v>1963.43</v>
      </c>
      <c r="I11" s="7">
        <f>'Data Sheet'!I60</f>
        <v>1941.61</v>
      </c>
      <c r="J11" s="7">
        <f>'Data Sheet'!J60</f>
        <v>2292.7199999999998</v>
      </c>
      <c r="K11" s="7">
        <f>'Data Sheet'!K60</f>
        <v>2457.23</v>
      </c>
    </row>
    <row r="12" spans="1:11" x14ac:dyDescent="0.3">
      <c r="A12" t="s">
        <v>18</v>
      </c>
      <c r="B12" s="7">
        <f>'Data Sheet'!B61</f>
        <v>35.909999999999997</v>
      </c>
      <c r="C12" s="7">
        <f>'Data Sheet'!C61</f>
        <v>349.19</v>
      </c>
      <c r="D12" s="7">
        <f>'Data Sheet'!D61</f>
        <v>954.51</v>
      </c>
      <c r="E12" s="7">
        <f>'Data Sheet'!E61</f>
        <v>33.869999999999997</v>
      </c>
      <c r="F12" s="7">
        <f>'Data Sheet'!F61</f>
        <v>172.27</v>
      </c>
      <c r="G12" s="7">
        <f>'Data Sheet'!G61</f>
        <v>220.44</v>
      </c>
      <c r="H12" s="7">
        <f>'Data Sheet'!H61</f>
        <v>122.23</v>
      </c>
      <c r="I12" s="7">
        <f>'Data Sheet'!I61</f>
        <v>300.83</v>
      </c>
      <c r="J12" s="7">
        <f>'Data Sheet'!J61</f>
        <v>773.51</v>
      </c>
      <c r="K12" s="7">
        <f>'Data Sheet'!K61</f>
        <v>1649.05</v>
      </c>
    </row>
    <row r="13" spans="1:11" x14ac:dyDescent="0.3">
      <c r="A13" t="s">
        <v>19</v>
      </c>
      <c r="B13" s="7">
        <f>'Data Sheet'!B62</f>
        <v>86.6</v>
      </c>
      <c r="C13" s="7">
        <f>'Data Sheet'!C62</f>
        <v>118.08</v>
      </c>
      <c r="D13" s="7">
        <f>'Data Sheet'!D62</f>
        <v>31.77</v>
      </c>
      <c r="E13" s="7">
        <f>'Data Sheet'!E62</f>
        <v>2.39</v>
      </c>
      <c r="F13" s="7">
        <f>'Data Sheet'!F62</f>
        <v>2.38</v>
      </c>
      <c r="G13" s="7">
        <f>'Data Sheet'!G62</f>
        <v>189.29</v>
      </c>
      <c r="H13" s="7">
        <f>'Data Sheet'!H62</f>
        <v>439.02</v>
      </c>
      <c r="I13" s="7">
        <f>'Data Sheet'!I62</f>
        <v>379.35</v>
      </c>
      <c r="J13" s="7">
        <f>'Data Sheet'!J62</f>
        <v>121.85</v>
      </c>
      <c r="K13" s="7">
        <f>'Data Sheet'!K62</f>
        <v>510.89</v>
      </c>
    </row>
    <row r="14" spans="1:11" x14ac:dyDescent="0.3">
      <c r="A14" t="s">
        <v>44</v>
      </c>
      <c r="B14" s="7">
        <f>'Data Sheet'!B63</f>
        <v>579.98</v>
      </c>
      <c r="C14" s="7">
        <f>'Data Sheet'!C63</f>
        <v>735.99</v>
      </c>
      <c r="D14" s="7">
        <f>'Data Sheet'!D63</f>
        <v>1018.46</v>
      </c>
      <c r="E14" s="7">
        <f>'Data Sheet'!E63</f>
        <v>1183.18</v>
      </c>
      <c r="F14" s="7">
        <f>'Data Sheet'!F63</f>
        <v>1209.9100000000001</v>
      </c>
      <c r="G14" s="7">
        <f>'Data Sheet'!G63</f>
        <v>1293.18</v>
      </c>
      <c r="H14" s="7">
        <f>'Data Sheet'!H63</f>
        <v>1907.58</v>
      </c>
      <c r="I14" s="7">
        <f>'Data Sheet'!I63</f>
        <v>2507.6999999999998</v>
      </c>
      <c r="J14" s="7">
        <f>'Data Sheet'!J63</f>
        <v>2906.8</v>
      </c>
      <c r="K14" s="7">
        <f>'Data Sheet'!K63</f>
        <v>3091.15</v>
      </c>
    </row>
    <row r="15" spans="1:11" s="2" customFormat="1" x14ac:dyDescent="0.3">
      <c r="A15" s="2" t="s">
        <v>16</v>
      </c>
      <c r="B15" s="8">
        <f>'Data Sheet'!B64</f>
        <v>1296.24</v>
      </c>
      <c r="C15" s="8">
        <f>'Data Sheet'!C64</f>
        <v>1789.19</v>
      </c>
      <c r="D15" s="8">
        <f>'Data Sheet'!D64</f>
        <v>2592.3000000000002</v>
      </c>
      <c r="E15" s="8">
        <f>'Data Sheet'!E64</f>
        <v>2935.27</v>
      </c>
      <c r="F15" s="8">
        <f>'Data Sheet'!F64</f>
        <v>3216.54</v>
      </c>
      <c r="G15" s="8">
        <f>'Data Sheet'!G64</f>
        <v>3566.65</v>
      </c>
      <c r="H15" s="8">
        <f>'Data Sheet'!H64</f>
        <v>4432.26</v>
      </c>
      <c r="I15" s="8">
        <f>'Data Sheet'!I64</f>
        <v>5129.49</v>
      </c>
      <c r="J15" s="8">
        <f>'Data Sheet'!J64</f>
        <v>6094.88</v>
      </c>
      <c r="K15" s="8">
        <f>'Data Sheet'!K64</f>
        <v>7708.32</v>
      </c>
    </row>
    <row r="16" spans="1:1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t="s">
        <v>20</v>
      </c>
      <c r="B17" s="3">
        <f>B14-B8</f>
        <v>285.42</v>
      </c>
      <c r="C17" s="3">
        <f t="shared" ref="C17:K17" si="0">C14-C8</f>
        <v>385.55</v>
      </c>
      <c r="D17" s="3">
        <f t="shared" si="0"/>
        <v>334.84000000000003</v>
      </c>
      <c r="E17" s="3">
        <f t="shared" si="0"/>
        <v>506.0100000000001</v>
      </c>
      <c r="F17" s="3">
        <f t="shared" si="0"/>
        <v>672.12000000000012</v>
      </c>
      <c r="G17" s="3">
        <f t="shared" si="0"/>
        <v>662.92000000000007</v>
      </c>
      <c r="H17" s="3">
        <f t="shared" si="0"/>
        <v>1128.79</v>
      </c>
      <c r="I17" s="3">
        <f t="shared" si="0"/>
        <v>1541.0299999999997</v>
      </c>
      <c r="J17" s="3">
        <f t="shared" si="0"/>
        <v>1894.6200000000003</v>
      </c>
      <c r="K17" s="3">
        <f t="shared" si="0"/>
        <v>2038.51</v>
      </c>
    </row>
    <row r="18" spans="1:11" x14ac:dyDescent="0.3">
      <c r="A18" t="s">
        <v>33</v>
      </c>
      <c r="B18" s="3">
        <f>'Data Sheet'!B65</f>
        <v>313.19</v>
      </c>
      <c r="C18" s="3">
        <f>'Data Sheet'!C65</f>
        <v>360.33</v>
      </c>
      <c r="D18" s="3">
        <f>'Data Sheet'!D65</f>
        <v>411.77</v>
      </c>
      <c r="E18" s="3">
        <f>'Data Sheet'!E65</f>
        <v>574.96</v>
      </c>
      <c r="F18" s="3">
        <f>'Data Sheet'!F65</f>
        <v>612.72</v>
      </c>
      <c r="G18" s="3">
        <f>'Data Sheet'!G65</f>
        <v>756.3</v>
      </c>
      <c r="H18" s="3">
        <f>'Data Sheet'!H65</f>
        <v>1129.06</v>
      </c>
      <c r="I18" s="3">
        <f>'Data Sheet'!I65</f>
        <v>1309.52</v>
      </c>
      <c r="J18" s="3">
        <f>'Data Sheet'!J65</f>
        <v>1298.3499999999999</v>
      </c>
      <c r="K18" s="3">
        <f>'Data Sheet'!K65</f>
        <v>1273.81</v>
      </c>
    </row>
    <row r="19" spans="1:11" x14ac:dyDescent="0.3">
      <c r="A19" t="s">
        <v>34</v>
      </c>
      <c r="B19" s="3">
        <f>'Data Sheet'!B66</f>
        <v>123.11</v>
      </c>
      <c r="C19" s="3">
        <f>'Data Sheet'!C66</f>
        <v>168.85</v>
      </c>
      <c r="D19" s="3">
        <f>'Data Sheet'!D66</f>
        <v>327.16000000000003</v>
      </c>
      <c r="E19" s="3">
        <f>'Data Sheet'!E66</f>
        <v>418.22</v>
      </c>
      <c r="F19" s="3">
        <f>'Data Sheet'!F66</f>
        <v>402.43</v>
      </c>
      <c r="G19" s="3">
        <f>'Data Sheet'!G66</f>
        <v>389.04</v>
      </c>
      <c r="H19" s="3">
        <f>'Data Sheet'!H66</f>
        <v>586.35</v>
      </c>
      <c r="I19" s="3">
        <f>'Data Sheet'!I66</f>
        <v>893.97</v>
      </c>
      <c r="J19" s="3">
        <f>'Data Sheet'!J66</f>
        <v>760.74</v>
      </c>
      <c r="K19" s="3">
        <f>'Data Sheet'!K66</f>
        <v>928.7</v>
      </c>
    </row>
    <row r="21" spans="1:11" x14ac:dyDescent="0.3">
      <c r="A21" t="s">
        <v>35</v>
      </c>
      <c r="B21" s="3">
        <f>IF('INCOME STATEMENT'!B5&gt;0,'Balance Sheet'!B18/('INCOME STATEMENT'!B5/365),0)</f>
        <v>83.263057839802457</v>
      </c>
      <c r="C21" s="3">
        <f>IF('INCOME STATEMENT'!C5&gt;0,'Balance Sheet'!C18/('INCOME STATEMENT'!C5/365),0)</f>
        <v>95.95060224263338</v>
      </c>
      <c r="D21" s="3">
        <f>IF('INCOME STATEMENT'!D5&gt;0,'Balance Sheet'!D18/('INCOME STATEMENT'!D5/365),0)</f>
        <v>91.008537951497161</v>
      </c>
      <c r="E21" s="3">
        <f>IF('INCOME STATEMENT'!E5&gt;0,'Balance Sheet'!E18/('INCOME STATEMENT'!E5/365),0)</f>
        <v>77.728377137100367</v>
      </c>
      <c r="F21" s="3">
        <f>IF('INCOME STATEMENT'!F5&gt;0,'Balance Sheet'!F18/('INCOME STATEMENT'!F5/365),0)</f>
        <v>52.874263247362116</v>
      </c>
      <c r="G21" s="3">
        <f>IF('INCOME STATEMENT'!G5&gt;0,'Balance Sheet'!G18/('INCOME STATEMENT'!G5/365),0)</f>
        <v>63.317736108721824</v>
      </c>
      <c r="H21" s="3">
        <f>IF('INCOME STATEMENT'!H5&gt;0,'Balance Sheet'!H18/('INCOME STATEMENT'!H5/365),0)</f>
        <v>60.584444127553034</v>
      </c>
      <c r="I21" s="3">
        <f>IF('INCOME STATEMENT'!I5&gt;0,'Balance Sheet'!I18/('INCOME STATEMENT'!I5/365),0)</f>
        <v>59.956247193322675</v>
      </c>
      <c r="J21" s="3">
        <f>IF('INCOME STATEMENT'!J5&gt;0,'Balance Sheet'!J18/('INCOME STATEMENT'!J5/365),0)</f>
        <v>61.690736452121435</v>
      </c>
      <c r="K21" s="3">
        <f>IF('INCOME STATEMENT'!K5&gt;0,'Balance Sheet'!K18/('INCOME STATEMENT'!K5/365),0)</f>
        <v>56.139166836715596</v>
      </c>
    </row>
    <row r="22" spans="1:11" x14ac:dyDescent="0.3">
      <c r="A22" t="s">
        <v>36</v>
      </c>
      <c r="B22" s="3">
        <f>IF('Balance Sheet'!B19&gt;0,'INCOME STATEMENT'!B5/'Balance Sheet'!B19,0)</f>
        <v>11.152059134107709</v>
      </c>
      <c r="C22" s="3">
        <f>IF('Balance Sheet'!C19&gt;0,'INCOME STATEMENT'!C5/'Balance Sheet'!C19,0)</f>
        <v>8.1179153094462553</v>
      </c>
      <c r="D22" s="3">
        <f>IF('Balance Sheet'!D19&gt;0,'INCOME STATEMENT'!D5/'Balance Sheet'!D19,0)</f>
        <v>5.0478359212617674</v>
      </c>
      <c r="E22" s="3">
        <f>IF('Balance Sheet'!E19&gt;0,'INCOME STATEMENT'!E5/'Balance Sheet'!E19,0)</f>
        <v>6.455740997561092</v>
      </c>
      <c r="F22" s="3">
        <f>IF('Balance Sheet'!F19&gt;0,'INCOME STATEMENT'!F5/'Balance Sheet'!F19,0)</f>
        <v>10.510424173148126</v>
      </c>
      <c r="G22" s="3">
        <f>IF('Balance Sheet'!G19&gt;0,'INCOME STATEMENT'!G5/'Balance Sheet'!G19,0)</f>
        <v>11.206431215299197</v>
      </c>
      <c r="H22" s="3">
        <f>IF('Balance Sheet'!H19&gt;0,'INCOME STATEMENT'!H5/'Balance Sheet'!H19,0)</f>
        <v>11.600903896989852</v>
      </c>
      <c r="I22" s="3">
        <f>IF('Balance Sheet'!I19&gt;0,'INCOME STATEMENT'!I5/'Balance Sheet'!I19,0)</f>
        <v>8.9175923129411512</v>
      </c>
      <c r="J22" s="3">
        <f>IF('Balance Sheet'!J19&gt;0,'INCOME STATEMENT'!J5/'Balance Sheet'!J19,0)</f>
        <v>10.097838946289139</v>
      </c>
      <c r="K22" s="3">
        <f>IF('Balance Sheet'!K19&gt;0,'INCOME STATEMENT'!K5/'Balance Sheet'!K19,0)</f>
        <v>8.9177667707548185</v>
      </c>
    </row>
    <row r="24" spans="1:11" s="2" customFormat="1" x14ac:dyDescent="0.3">
      <c r="A24" s="2" t="s">
        <v>38</v>
      </c>
      <c r="B24" s="25">
        <f>IF(SUM('Balance Sheet'!B5:B6)&gt;0,'INCOME STATEMENT'!B14/SUM('Balance Sheet'!B5:B6),"")</f>
        <v>0.13265802440417027</v>
      </c>
      <c r="C24" s="25">
        <f>IF(SUM('Balance Sheet'!C5:C6)&gt;0,'INCOME STATEMENT'!C14/SUM('Balance Sheet'!C5:C6),"")</f>
        <v>0.13473966930587805</v>
      </c>
      <c r="D24" s="25">
        <f>IF(SUM('Balance Sheet'!D5:D6)&gt;0,'INCOME STATEMENT'!D14/SUM('Balance Sheet'!D5:D6),"")</f>
        <v>8.5691977357017377E-2</v>
      </c>
      <c r="E24" s="25">
        <f>IF(SUM('Balance Sheet'!E5:E6)&gt;0,'INCOME STATEMENT'!E14/SUM('Balance Sheet'!E5:E6),"")</f>
        <v>0.16205824989034986</v>
      </c>
      <c r="F24" s="25">
        <f>IF(SUM('Balance Sheet'!F5:F6)&gt;0,'INCOME STATEMENT'!F14/SUM('Balance Sheet'!F5:F6),"")</f>
        <v>0.38871818361102095</v>
      </c>
      <c r="G24" s="25">
        <f>IF(SUM('Balance Sheet'!G5:G6)&gt;0,'INCOME STATEMENT'!G14/SUM('Balance Sheet'!G5:G6),"")</f>
        <v>0.33060320030682033</v>
      </c>
      <c r="H24" s="25">
        <f>IF(SUM('Balance Sheet'!H5:H6)&gt;0,'INCOME STATEMENT'!H14/SUM('Balance Sheet'!H5:H6),"")</f>
        <v>0.31950252213608754</v>
      </c>
      <c r="I24" s="25">
        <f>IF(SUM('Balance Sheet'!I5:I6)&gt;0,'INCOME STATEMENT'!I14/SUM('Balance Sheet'!I5:I6),"")</f>
        <v>0.20831499574567966</v>
      </c>
      <c r="J24" s="25">
        <f>IF(SUM('Balance Sheet'!J5:J6)&gt;0,'INCOME STATEMENT'!J14/SUM('Balance Sheet'!J5:J6),"")</f>
        <v>0.16905654398305472</v>
      </c>
      <c r="K24" s="25">
        <f>IF(SUM('Balance Sheet'!K5:K6)&gt;0,'INCOME STATEMENT'!K14/SUM('Balance Sheet'!K5:K6),"")</f>
        <v>0.12938999790300762</v>
      </c>
    </row>
    <row r="25" spans="1:11" s="2" customFormat="1" x14ac:dyDescent="0.3">
      <c r="A25" s="2" t="s">
        <v>39</v>
      </c>
      <c r="B25" s="6"/>
      <c r="C25" s="25">
        <f>IF((B5+B6+B7+C5+C6+C7)&gt;0,('INCOME STATEMENT'!C10)*2/(B5+B6+B7+C5+C6+C7),"")</f>
        <v>0.14022119052789878</v>
      </c>
      <c r="D25" s="25">
        <f>IF((C5+C6+C7+D5+D6+D7)&gt;0,('INCOME STATEMENT'!D10)*2/(C5+C6+C7+D5+D6+D7),"")</f>
        <v>9.4562096892242695E-2</v>
      </c>
      <c r="E25" s="25">
        <f>IF((D5+D6+D7+E5+E6+E7)&gt;0,('INCOME STATEMENT'!E10)*2/(D5+D6+D7+E5+E6+E7),"")</f>
        <v>0.17016977138221842</v>
      </c>
      <c r="F25" s="25">
        <f>IF((E5+E6+E7+F5+F6+F7)&gt;0,('INCOME STATEMENT'!F10)*2/(E5+E6+E7+F5+F6+F7),"")</f>
        <v>0.37447765275428663</v>
      </c>
      <c r="G25" s="25">
        <f>IF((F5+F6+F7+G5+G6+G7)&gt;0,('INCOME STATEMENT'!G10)*2/(F5+F6+F7+G5+G6+G7),"")</f>
        <v>0.39858311636041133</v>
      </c>
      <c r="H25" s="25">
        <f>IF((G5+G6+G7+H5+H6+H7)&gt;0,('INCOME STATEMENT'!H10)*2/(G5+G6+G7+H5+H6+H7),"")</f>
        <v>0.4463888458935395</v>
      </c>
      <c r="I25" s="25">
        <f>IF((H5+H6+H7+I5+I6+I7)&gt;0,('INCOME STATEMENT'!I10)*2/(H5+H6+H7+I5+I6+I7),"")</f>
        <v>0.3000298095387966</v>
      </c>
      <c r="J25" s="25">
        <f>IF((I5+I6+I7+J5+J6+J7)&gt;0,('INCOME STATEMENT'!J10)*2/(I5+I6+I7+J5+J6+J7),"")</f>
        <v>0.24159160328461787</v>
      </c>
      <c r="K25" s="25">
        <f>IF((J5+J6+J7+K5+K6+K7)&gt;0,('INCOME STATEMENT'!K10)*2/(J5+J6+J7+K5+K6+K7),"")</f>
        <v>0.16757849038794109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2" sqref="A12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>
        <f>'Balance Sheet'!A2</f>
        <v>0</v>
      </c>
      <c r="E1"/>
      <c r="F1"/>
    </row>
    <row r="3" spans="1:11" s="2" customFormat="1" x14ac:dyDescent="0.3">
      <c r="A3" s="17" t="s">
        <v>79</v>
      </c>
      <c r="B3" s="21">
        <f>'Data Sheet'!B79</f>
        <v>42460</v>
      </c>
      <c r="C3" s="21">
        <f>'Data Sheet'!C79</f>
        <v>42825</v>
      </c>
      <c r="D3" s="21">
        <f>'Data Sheet'!D79</f>
        <v>43190</v>
      </c>
      <c r="E3" s="21">
        <f>'Data Sheet'!E79</f>
        <v>43555</v>
      </c>
      <c r="F3" s="21">
        <f>'Data Sheet'!F79</f>
        <v>43921</v>
      </c>
      <c r="G3" s="21">
        <f>'Data Sheet'!G79</f>
        <v>44286</v>
      </c>
      <c r="H3" s="21">
        <f>'Data Sheet'!H79</f>
        <v>44651</v>
      </c>
      <c r="I3" s="21">
        <f>'Data Sheet'!I79</f>
        <v>45016</v>
      </c>
      <c r="J3" s="21">
        <f>'Data Sheet'!J79</f>
        <v>45382</v>
      </c>
      <c r="K3" s="21">
        <f>'Data Sheet'!K79</f>
        <v>45747</v>
      </c>
    </row>
    <row r="4" spans="1:11" s="2" customFormat="1" x14ac:dyDescent="0.3">
      <c r="A4" s="16" t="s">
        <v>117</v>
      </c>
      <c r="B4" s="1">
        <f>'Data Sheet'!B80</f>
        <v>167.28</v>
      </c>
      <c r="C4" s="1">
        <f>'Data Sheet'!C80</f>
        <v>49.01</v>
      </c>
      <c r="D4" s="1">
        <f>'Data Sheet'!D80</f>
        <v>183</v>
      </c>
      <c r="E4" s="1">
        <f>'Data Sheet'!E80</f>
        <v>60.28</v>
      </c>
      <c r="F4" s="1">
        <f>'Data Sheet'!F80</f>
        <v>764.66</v>
      </c>
      <c r="G4" s="1">
        <f>'Data Sheet'!G80</f>
        <v>1001.9</v>
      </c>
      <c r="H4" s="1">
        <f>'Data Sheet'!H80</f>
        <v>823.84</v>
      </c>
      <c r="I4" s="1">
        <f>'Data Sheet'!I80</f>
        <v>649.91999999999996</v>
      </c>
      <c r="J4" s="1">
        <f>'Data Sheet'!J80</f>
        <v>874.06</v>
      </c>
      <c r="K4" s="1">
        <f>'Data Sheet'!K80</f>
        <v>624.70000000000005</v>
      </c>
    </row>
    <row r="5" spans="1:11" x14ac:dyDescent="0.3">
      <c r="A5" t="s">
        <v>118</v>
      </c>
      <c r="B5" s="5">
        <f>'Data Sheet'!B81</f>
        <v>-169.38</v>
      </c>
      <c r="C5" s="5">
        <f>'Data Sheet'!C81</f>
        <v>-352.55</v>
      </c>
      <c r="D5" s="5">
        <f>'Data Sheet'!D81</f>
        <v>-524.73</v>
      </c>
      <c r="E5" s="5">
        <f>'Data Sheet'!E81</f>
        <v>-162.55000000000001</v>
      </c>
      <c r="F5" s="5">
        <f>'Data Sheet'!F81</f>
        <v>-427.92</v>
      </c>
      <c r="G5" s="5">
        <f>'Data Sheet'!G81</f>
        <v>-396.16</v>
      </c>
      <c r="H5" s="5">
        <f>'Data Sheet'!H81</f>
        <v>-424.05</v>
      </c>
      <c r="I5" s="5">
        <f>'Data Sheet'!I81</f>
        <v>-276.05</v>
      </c>
      <c r="J5" s="5">
        <f>'Data Sheet'!J81</f>
        <v>-717.26</v>
      </c>
      <c r="K5" s="5">
        <f>'Data Sheet'!K81</f>
        <v>-1489.42</v>
      </c>
    </row>
    <row r="6" spans="1:11" x14ac:dyDescent="0.3">
      <c r="A6" t="s">
        <v>119</v>
      </c>
      <c r="B6" s="5">
        <f>'Data Sheet'!B82</f>
        <v>4.33</v>
      </c>
      <c r="C6" s="5">
        <f>'Data Sheet'!C82</f>
        <v>304.62</v>
      </c>
      <c r="D6" s="5">
        <f>'Data Sheet'!D82</f>
        <v>345.31</v>
      </c>
      <c r="E6" s="5">
        <f>'Data Sheet'!E82</f>
        <v>95.81</v>
      </c>
      <c r="F6" s="5">
        <f>'Data Sheet'!F82</f>
        <v>-337.56</v>
      </c>
      <c r="G6" s="5">
        <f>'Data Sheet'!G82</f>
        <v>-598.99</v>
      </c>
      <c r="H6" s="5">
        <f>'Data Sheet'!H82</f>
        <v>-385.83</v>
      </c>
      <c r="I6" s="5">
        <f>'Data Sheet'!I82</f>
        <v>-359.08</v>
      </c>
      <c r="J6" s="5">
        <f>'Data Sheet'!J82</f>
        <v>43.53</v>
      </c>
      <c r="K6" s="5">
        <f>'Data Sheet'!K82</f>
        <v>806.16</v>
      </c>
    </row>
    <row r="7" spans="1:11" s="2" customFormat="1" x14ac:dyDescent="0.3">
      <c r="A7" s="2" t="s">
        <v>25</v>
      </c>
      <c r="B7" s="1">
        <f>'Data Sheet'!B83</f>
        <v>2.23</v>
      </c>
      <c r="C7" s="1">
        <f>'Data Sheet'!C83</f>
        <v>1.07</v>
      </c>
      <c r="D7" s="1">
        <f>'Data Sheet'!D83</f>
        <v>3.59</v>
      </c>
      <c r="E7" s="1">
        <f>'Data Sheet'!E83</f>
        <v>-6.46</v>
      </c>
      <c r="F7" s="1">
        <f>'Data Sheet'!F83</f>
        <v>-0.82</v>
      </c>
      <c r="G7" s="1">
        <f>'Data Sheet'!G83</f>
        <v>6.75</v>
      </c>
      <c r="H7" s="1">
        <f>'Data Sheet'!H83</f>
        <v>13.96</v>
      </c>
      <c r="I7" s="1">
        <f>'Data Sheet'!I83</f>
        <v>14.79</v>
      </c>
      <c r="J7" s="1">
        <f>'Data Sheet'!J83</f>
        <v>200.33</v>
      </c>
      <c r="K7" s="1">
        <f>'Data Sheet'!K83</f>
        <v>-58.56</v>
      </c>
    </row>
    <row r="8" spans="1:11" x14ac:dyDescent="0.3">
      <c r="B8" s="5"/>
      <c r="C8" s="5"/>
      <c r="D8" s="5"/>
      <c r="E8" s="5"/>
      <c r="F8" s="5"/>
      <c r="G8" s="5"/>
      <c r="H8" s="5"/>
      <c r="I8" s="5"/>
      <c r="J8" s="5"/>
      <c r="K8" s="5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4FD3-2033-4C40-BD2B-DB975B89796C}">
  <dimension ref="B3:D16"/>
  <sheetViews>
    <sheetView tabSelected="1" zoomScale="85" zoomScaleNormal="85" workbookViewId="0">
      <selection activeCell="G7" sqref="G7"/>
    </sheetView>
  </sheetViews>
  <sheetFormatPr defaultRowHeight="14.4" x14ac:dyDescent="0.3"/>
  <cols>
    <col min="2" max="2" width="28" customWidth="1"/>
    <col min="3" max="3" width="15.44140625" customWidth="1"/>
    <col min="4" max="4" width="28.44140625" customWidth="1"/>
  </cols>
  <sheetData>
    <row r="3" spans="2:4" x14ac:dyDescent="0.3">
      <c r="B3" s="33" t="s">
        <v>61</v>
      </c>
      <c r="C3" s="33" t="s">
        <v>62</v>
      </c>
      <c r="D3" s="33" t="s">
        <v>63</v>
      </c>
    </row>
    <row r="4" spans="2:4" x14ac:dyDescent="0.3">
      <c r="B4" s="20" t="s">
        <v>64</v>
      </c>
      <c r="C4" s="28"/>
      <c r="D4" s="28"/>
    </row>
    <row r="5" spans="2:4" x14ac:dyDescent="0.3">
      <c r="B5" s="28" t="s">
        <v>65</v>
      </c>
      <c r="C5" s="36">
        <v>7.0000000000000007E-2</v>
      </c>
      <c r="D5" s="28" t="s">
        <v>123</v>
      </c>
    </row>
    <row r="6" spans="2:4" x14ac:dyDescent="0.3">
      <c r="B6" s="28" t="s">
        <v>66</v>
      </c>
      <c r="C6" s="36">
        <v>0.06</v>
      </c>
      <c r="D6" s="28" t="s">
        <v>124</v>
      </c>
    </row>
    <row r="7" spans="2:4" x14ac:dyDescent="0.3">
      <c r="B7" s="28" t="s">
        <v>67</v>
      </c>
      <c r="C7" s="37">
        <v>1.2</v>
      </c>
      <c r="D7" s="28" t="s">
        <v>128</v>
      </c>
    </row>
    <row r="8" spans="2:4" ht="15.6" x14ac:dyDescent="0.35">
      <c r="B8" s="28" t="s">
        <v>68</v>
      </c>
      <c r="C8" s="36">
        <f>C5+C6*C7</f>
        <v>0.14200000000000002</v>
      </c>
      <c r="D8" s="28" t="s">
        <v>125</v>
      </c>
    </row>
    <row r="9" spans="2:4" x14ac:dyDescent="0.3">
      <c r="B9" s="28" t="s">
        <v>69</v>
      </c>
      <c r="C9" s="36">
        <v>8.5000000000000006E-2</v>
      </c>
      <c r="D9" s="28" t="s">
        <v>126</v>
      </c>
    </row>
    <row r="10" spans="2:4" x14ac:dyDescent="0.3">
      <c r="B10" s="28" t="s">
        <v>70</v>
      </c>
      <c r="C10" s="36">
        <v>0.25</v>
      </c>
      <c r="D10" s="28" t="s">
        <v>127</v>
      </c>
    </row>
    <row r="11" spans="2:4" x14ac:dyDescent="0.3">
      <c r="B11" s="28" t="s">
        <v>71</v>
      </c>
      <c r="C11" s="36">
        <f>Valuation!F8</f>
        <v>0.12</v>
      </c>
      <c r="D11" s="28" t="s">
        <v>122</v>
      </c>
    </row>
    <row r="12" spans="2:4" x14ac:dyDescent="0.3">
      <c r="B12" s="28"/>
      <c r="C12" s="36"/>
      <c r="D12" s="28"/>
    </row>
    <row r="13" spans="2:4" x14ac:dyDescent="0.3">
      <c r="B13" s="20" t="s">
        <v>72</v>
      </c>
      <c r="C13" s="36"/>
      <c r="D13" s="28"/>
    </row>
    <row r="14" spans="2:4" x14ac:dyDescent="0.3">
      <c r="B14" s="28" t="s">
        <v>73</v>
      </c>
      <c r="C14" s="36">
        <f>Valuation!F9</f>
        <v>0.12</v>
      </c>
      <c r="D14" s="28" t="s">
        <v>74</v>
      </c>
    </row>
    <row r="15" spans="2:4" x14ac:dyDescent="0.3">
      <c r="B15" s="28" t="s">
        <v>75</v>
      </c>
      <c r="C15" s="36">
        <v>0.05</v>
      </c>
      <c r="D15" s="28" t="s">
        <v>74</v>
      </c>
    </row>
    <row r="16" spans="2:4" x14ac:dyDescent="0.3">
      <c r="B16" s="28" t="s">
        <v>76</v>
      </c>
      <c r="C16" s="36">
        <v>0.14000000000000001</v>
      </c>
      <c r="D16" s="28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6B61-BC57-410C-8E7F-C03952D05074}">
  <dimension ref="B2:H13"/>
  <sheetViews>
    <sheetView zoomScale="130" zoomScaleNormal="130" workbookViewId="0">
      <selection activeCell="B18" sqref="B18"/>
    </sheetView>
  </sheetViews>
  <sheetFormatPr defaultRowHeight="14.4" x14ac:dyDescent="0.3"/>
  <cols>
    <col min="2" max="2" width="20.77734375" customWidth="1"/>
    <col min="3" max="8" width="12.77734375" customWidth="1"/>
  </cols>
  <sheetData>
    <row r="2" spans="2:8" x14ac:dyDescent="0.3">
      <c r="B2" s="2" t="s">
        <v>77</v>
      </c>
      <c r="F2" s="13" t="s">
        <v>78</v>
      </c>
    </row>
    <row r="3" spans="2:8" x14ac:dyDescent="0.3">
      <c r="B3" s="2"/>
      <c r="F3" s="13"/>
    </row>
    <row r="4" spans="2:8" x14ac:dyDescent="0.3">
      <c r="B4" s="17" t="s">
        <v>79</v>
      </c>
      <c r="C4" s="17">
        <v>2025</v>
      </c>
      <c r="D4" s="17">
        <v>2026</v>
      </c>
      <c r="E4" s="17">
        <v>2027</v>
      </c>
      <c r="F4" s="17">
        <v>2028</v>
      </c>
      <c r="G4" s="17">
        <v>2029</v>
      </c>
      <c r="H4" s="17">
        <v>2030</v>
      </c>
    </row>
    <row r="5" spans="2:8" x14ac:dyDescent="0.3">
      <c r="B5" s="16" t="s">
        <v>80</v>
      </c>
      <c r="C5" s="14">
        <f>'Data Sheet'!K15</f>
        <v>8281.93</v>
      </c>
      <c r="D5" s="14">
        <f>C5*(1+Assumptions!$C$14)</f>
        <v>9275.7616000000016</v>
      </c>
      <c r="E5" s="14">
        <f>D5*(1+Assumptions!$C$14)</f>
        <v>10388.852992000004</v>
      </c>
      <c r="F5" s="14">
        <f>E5*(1+Assumptions!$C$14)</f>
        <v>11635.515351040005</v>
      </c>
      <c r="G5" s="14">
        <f>F5*(1+Assumptions!$C$14)</f>
        <v>13031.777193164808</v>
      </c>
      <c r="H5" s="14">
        <f>G5*(1+Assumptions!$C$14)</f>
        <v>14595.590456344586</v>
      </c>
    </row>
    <row r="6" spans="2:8" x14ac:dyDescent="0.3">
      <c r="B6" s="16" t="s">
        <v>81</v>
      </c>
      <c r="C6" s="14">
        <f>'Data Sheet'!K26+'Data Sheet'!K25</f>
        <v>983.55</v>
      </c>
      <c r="D6" s="14">
        <f>D5*(Assumptions!$C$16)</f>
        <v>1298.6066240000005</v>
      </c>
      <c r="E6" s="14">
        <f>E5*(Assumptions!$C$16)</f>
        <v>1454.4394188800006</v>
      </c>
      <c r="F6" s="14">
        <f>F5*(Assumptions!$C$16)</f>
        <v>1628.972149145601</v>
      </c>
      <c r="G6" s="14">
        <f>G5*(Assumptions!$C$16)</f>
        <v>1824.4488070430732</v>
      </c>
      <c r="H6" s="14">
        <f>H5*(Assumptions!$C$16)</f>
        <v>2043.3826638882422</v>
      </c>
    </row>
    <row r="7" spans="2:8" x14ac:dyDescent="0.3">
      <c r="B7" s="16" t="s">
        <v>82</v>
      </c>
      <c r="C7" s="14">
        <f t="shared" ref="C7:H7" si="0">C6*0.25</f>
        <v>245.88749999999999</v>
      </c>
      <c r="D7" s="14">
        <f t="shared" si="0"/>
        <v>324.65165600000012</v>
      </c>
      <c r="E7" s="14">
        <f t="shared" si="0"/>
        <v>363.60985472000016</v>
      </c>
      <c r="F7" s="14">
        <f t="shared" si="0"/>
        <v>407.24303728640024</v>
      </c>
      <c r="G7" s="14">
        <f t="shared" si="0"/>
        <v>456.1122017607683</v>
      </c>
      <c r="H7" s="14">
        <f t="shared" si="0"/>
        <v>510.84566597206054</v>
      </c>
    </row>
    <row r="8" spans="2:8" s="2" customFormat="1" x14ac:dyDescent="0.3">
      <c r="B8" s="2" t="s">
        <v>83</v>
      </c>
      <c r="C8" s="27">
        <f t="shared" ref="C8:H8" si="1">C6-C7</f>
        <v>737.66249999999991</v>
      </c>
      <c r="D8" s="27">
        <f t="shared" si="1"/>
        <v>973.95496800000035</v>
      </c>
      <c r="E8" s="27">
        <f t="shared" si="1"/>
        <v>1090.8295641600005</v>
      </c>
      <c r="F8" s="27">
        <f t="shared" si="1"/>
        <v>1221.7291118592007</v>
      </c>
      <c r="G8" s="27">
        <f t="shared" si="1"/>
        <v>1368.3366052823048</v>
      </c>
      <c r="H8" s="27">
        <f t="shared" si="1"/>
        <v>1532.5369979161817</v>
      </c>
    </row>
    <row r="9" spans="2:8" x14ac:dyDescent="0.3">
      <c r="B9" s="16"/>
      <c r="C9" s="14"/>
      <c r="D9" s="14"/>
      <c r="E9" s="14"/>
      <c r="F9" s="14"/>
      <c r="G9" s="14"/>
      <c r="H9" s="14"/>
    </row>
    <row r="10" spans="2:8" ht="29.4" customHeight="1" x14ac:dyDescent="0.3">
      <c r="B10" s="26" t="s">
        <v>84</v>
      </c>
      <c r="C10" s="14">
        <f t="shared" ref="C10:H10" si="2">C8*0.4</f>
        <v>295.065</v>
      </c>
      <c r="D10" s="14">
        <f t="shared" si="2"/>
        <v>389.58198720000019</v>
      </c>
      <c r="E10" s="14">
        <f t="shared" si="2"/>
        <v>436.33182566400023</v>
      </c>
      <c r="F10" s="14">
        <f t="shared" si="2"/>
        <v>488.69164474368029</v>
      </c>
      <c r="G10" s="14">
        <f t="shared" si="2"/>
        <v>547.33464211292198</v>
      </c>
      <c r="H10" s="14">
        <f t="shared" si="2"/>
        <v>613.0147991664727</v>
      </c>
    </row>
    <row r="11" spans="2:8" s="2" customFormat="1" x14ac:dyDescent="0.3">
      <c r="B11" s="2" t="s">
        <v>85</v>
      </c>
      <c r="C11" s="27">
        <f t="shared" ref="C11:H11" si="3">C8-C10</f>
        <v>442.59749999999991</v>
      </c>
      <c r="D11" s="27">
        <f t="shared" si="3"/>
        <v>584.37298080000016</v>
      </c>
      <c r="E11" s="27">
        <f t="shared" si="3"/>
        <v>654.49773849600024</v>
      </c>
      <c r="F11" s="27">
        <f t="shared" si="3"/>
        <v>733.03746711552037</v>
      </c>
      <c r="G11" s="27">
        <f t="shared" si="3"/>
        <v>821.00196316938286</v>
      </c>
      <c r="H11" s="27">
        <f t="shared" si="3"/>
        <v>919.52219874970899</v>
      </c>
    </row>
    <row r="12" spans="2:8" x14ac:dyDescent="0.3">
      <c r="B12" s="16"/>
      <c r="C12" s="14"/>
      <c r="D12" s="14"/>
      <c r="E12" s="14"/>
      <c r="F12" s="14"/>
      <c r="G12" s="14"/>
      <c r="H12" s="14"/>
    </row>
    <row r="13" spans="2:8" s="2" customFormat="1" x14ac:dyDescent="0.3">
      <c r="B13" s="2" t="s">
        <v>86</v>
      </c>
      <c r="C13" s="27">
        <f>C11/(1+Assumptions!$C$11)^(C4-$C$4)</f>
        <v>442.59749999999991</v>
      </c>
      <c r="D13" s="27">
        <f>D11/(1+Assumptions!$C$11)^(D4-$C$4)</f>
        <v>521.76159000000007</v>
      </c>
      <c r="E13" s="27">
        <f>E11/(1+Assumptions!$C$11)^(E4-$C$4)</f>
        <v>521.76159000000007</v>
      </c>
      <c r="F13" s="27">
        <f>F11/(1+Assumptions!$C$11)^(F4-$C$4)</f>
        <v>521.76159000000007</v>
      </c>
      <c r="G13" s="27">
        <f>G11/(1+Assumptions!$C$11)^(G4-$C$4)</f>
        <v>521.76159000000018</v>
      </c>
      <c r="H13" s="27">
        <f>H11/(1+Assumptions!$C$11)^(H4-$C$4)</f>
        <v>521.7615900000003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55F2-66B3-485E-B641-6C50C40B7275}">
  <dimension ref="A2:J25"/>
  <sheetViews>
    <sheetView zoomScale="67" zoomScaleNormal="70" workbookViewId="0">
      <selection activeCell="C29" sqref="C29"/>
    </sheetView>
  </sheetViews>
  <sheetFormatPr defaultRowHeight="14.4" x14ac:dyDescent="0.3"/>
  <cols>
    <col min="2" max="2" width="20.77734375" customWidth="1"/>
    <col min="3" max="8" width="12.77734375" customWidth="1"/>
    <col min="9" max="9" width="10.6640625" bestFit="1" customWidth="1"/>
  </cols>
  <sheetData>
    <row r="2" spans="2:6" x14ac:dyDescent="0.3">
      <c r="B2" s="2" t="s">
        <v>87</v>
      </c>
      <c r="E2" s="13" t="s">
        <v>78</v>
      </c>
    </row>
    <row r="3" spans="2:6" x14ac:dyDescent="0.3">
      <c r="B3" s="2"/>
      <c r="E3" s="13"/>
    </row>
    <row r="4" spans="2:6" x14ac:dyDescent="0.3">
      <c r="B4" t="s">
        <v>88</v>
      </c>
      <c r="C4" s="18">
        <f>SUM('DCF MODEL'!C13:H13)</f>
        <v>3051.4054500000002</v>
      </c>
    </row>
    <row r="5" spans="2:6" x14ac:dyDescent="0.3">
      <c r="B5" s="2" t="s">
        <v>89</v>
      </c>
      <c r="C5" s="19">
        <f>'DCF MODEL'!H11*(1+Assumptions!C15)/(Assumptions!C11-Assumptions!C15)</f>
        <v>13792.832981245638</v>
      </c>
    </row>
    <row r="6" spans="2:6" x14ac:dyDescent="0.3">
      <c r="B6" t="s">
        <v>90</v>
      </c>
      <c r="C6" s="18">
        <f>C5/(1+Assumptions!C11)^5</f>
        <v>7826.4238500000056</v>
      </c>
    </row>
    <row r="7" spans="2:6" x14ac:dyDescent="0.3">
      <c r="B7" s="2" t="s">
        <v>91</v>
      </c>
      <c r="C7" s="19">
        <f>C4+C6</f>
        <v>10877.829300000005</v>
      </c>
    </row>
    <row r="8" spans="2:6" x14ac:dyDescent="0.3">
      <c r="B8" t="s">
        <v>92</v>
      </c>
      <c r="C8" s="18">
        <f>'Data Sheet'!K57</f>
        <v>1267.01</v>
      </c>
      <c r="E8" s="29" t="s">
        <v>71</v>
      </c>
      <c r="F8" s="30">
        <v>0.12</v>
      </c>
    </row>
    <row r="9" spans="2:6" x14ac:dyDescent="0.3">
      <c r="B9" t="s">
        <v>93</v>
      </c>
      <c r="C9" s="18">
        <f>'Data Sheet'!K67</f>
        <v>406.56</v>
      </c>
      <c r="E9" s="29" t="s">
        <v>94</v>
      </c>
      <c r="F9" s="30">
        <v>0.12</v>
      </c>
    </row>
    <row r="10" spans="2:6" x14ac:dyDescent="0.3">
      <c r="B10" s="2" t="s">
        <v>95</v>
      </c>
      <c r="C10" s="19">
        <f>C7-C8+C9</f>
        <v>10017.379300000004</v>
      </c>
    </row>
    <row r="11" spans="2:6" x14ac:dyDescent="0.3">
      <c r="B11" t="s">
        <v>96</v>
      </c>
      <c r="C11" s="18">
        <f>'Data Sheet'!K91</f>
        <v>13.64</v>
      </c>
    </row>
    <row r="12" spans="2:6" x14ac:dyDescent="0.3">
      <c r="B12" s="20" t="s">
        <v>97</v>
      </c>
      <c r="C12" s="31">
        <f>C10/C11</f>
        <v>734.41197214076271</v>
      </c>
    </row>
    <row r="16" spans="2:6" x14ac:dyDescent="0.3">
      <c r="B16" s="2" t="s">
        <v>98</v>
      </c>
    </row>
    <row r="17" spans="1:10" x14ac:dyDescent="0.3">
      <c r="A17" s="32"/>
      <c r="B17" s="32"/>
    </row>
    <row r="18" spans="1:10" x14ac:dyDescent="0.3">
      <c r="A18" s="32"/>
      <c r="C18" s="33"/>
      <c r="D18" s="35" t="s">
        <v>71</v>
      </c>
      <c r="E18" s="35"/>
      <c r="F18" s="35"/>
      <c r="G18" s="35"/>
      <c r="H18" s="35"/>
      <c r="I18" s="35"/>
      <c r="J18" s="35"/>
    </row>
    <row r="19" spans="1:10" x14ac:dyDescent="0.3">
      <c r="A19" s="32"/>
      <c r="C19" s="33" t="s">
        <v>120</v>
      </c>
      <c r="D19" s="19">
        <f>C12</f>
        <v>734.41197214076271</v>
      </c>
      <c r="E19" s="15">
        <v>0.1</v>
      </c>
      <c r="F19" s="15">
        <v>0.11</v>
      </c>
      <c r="G19" s="15">
        <v>0.12</v>
      </c>
      <c r="H19" s="15">
        <v>0.13</v>
      </c>
      <c r="I19" s="15">
        <v>0.14000000000000001</v>
      </c>
      <c r="J19" s="15">
        <v>0.15</v>
      </c>
    </row>
    <row r="20" spans="1:10" x14ac:dyDescent="0.3">
      <c r="A20" s="32"/>
      <c r="C20" s="34" t="s">
        <v>121</v>
      </c>
      <c r="D20" s="15">
        <v>0.1</v>
      </c>
      <c r="E20" s="18">
        <f t="dataTable" ref="E20:J25" dt2D="1" dtr="1" r1="F8" r2="F9"/>
        <v>963.92586803519066</v>
      </c>
      <c r="F20" s="18">
        <v>795.31979231804235</v>
      </c>
      <c r="G20" s="18">
        <v>674.97303654958284</v>
      </c>
      <c r="H20" s="18">
        <v>584.784895018714</v>
      </c>
      <c r="I20" s="18">
        <v>514.69959068964386</v>
      </c>
      <c r="J20" s="18">
        <v>458.68380097623765</v>
      </c>
    </row>
    <row r="21" spans="1:10" x14ac:dyDescent="0.3">
      <c r="C21" s="34"/>
      <c r="D21" s="15">
        <v>0.12</v>
      </c>
      <c r="E21" s="18">
        <v>1050.3461039373015</v>
      </c>
      <c r="F21" s="18">
        <v>865.97659006895856</v>
      </c>
      <c r="G21" s="18">
        <v>734.41197214076271</v>
      </c>
      <c r="H21" s="18">
        <v>635.84526331488598</v>
      </c>
      <c r="I21" s="18">
        <v>559.27283635287642</v>
      </c>
      <c r="J21" s="18">
        <v>498.09272905427355</v>
      </c>
    </row>
    <row r="22" spans="1:10" x14ac:dyDescent="0.3">
      <c r="C22" s="34"/>
      <c r="D22" s="15">
        <v>0.14000000000000001</v>
      </c>
      <c r="E22" s="18">
        <v>1142.9001542267392</v>
      </c>
      <c r="F22" s="18">
        <v>941.60606912400317</v>
      </c>
      <c r="G22" s="18">
        <v>797.99879149418791</v>
      </c>
      <c r="H22" s="18">
        <v>690.43873416569522</v>
      </c>
      <c r="I22" s="18">
        <v>606.90425219941335</v>
      </c>
      <c r="J22" s="18">
        <v>540.18265155391759</v>
      </c>
    </row>
    <row r="23" spans="1:10" x14ac:dyDescent="0.3">
      <c r="C23" s="34"/>
      <c r="D23" s="15">
        <v>0.16</v>
      </c>
      <c r="E23" s="18">
        <v>1241.9153611184147</v>
      </c>
      <c r="F23" s="18">
        <v>1022.4724616052858</v>
      </c>
      <c r="G23" s="18">
        <v>865.95294841066232</v>
      </c>
      <c r="H23" s="18">
        <v>748.75142727972786</v>
      </c>
      <c r="I23" s="18">
        <v>657.75424234594516</v>
      </c>
      <c r="J23" s="18">
        <v>585.09358063714035</v>
      </c>
    </row>
    <row r="24" spans="1:10" x14ac:dyDescent="0.3">
      <c r="C24" s="34"/>
      <c r="D24" s="15">
        <v>0.18</v>
      </c>
      <c r="E24" s="18">
        <v>1347.7306044426612</v>
      </c>
      <c r="F24" s="18">
        <v>1108.8492886202462</v>
      </c>
      <c r="G24" s="18">
        <v>938.50159144324323</v>
      </c>
      <c r="H24" s="18">
        <v>810.97597134706166</v>
      </c>
      <c r="I24" s="18">
        <v>711.9888059802397</v>
      </c>
      <c r="J24" s="18">
        <v>632.97039954960269</v>
      </c>
    </row>
    <row r="25" spans="1:10" x14ac:dyDescent="0.3">
      <c r="C25" s="34"/>
      <c r="D25" s="15">
        <v>0.2</v>
      </c>
      <c r="E25" s="18">
        <v>1460.6965022994113</v>
      </c>
      <c r="F25" s="18">
        <v>1201.0195215287538</v>
      </c>
      <c r="G25" s="18">
        <v>1015.879697255164</v>
      </c>
      <c r="H25" s="18">
        <v>877.31161665139712</v>
      </c>
      <c r="I25" s="18">
        <v>769.77963399449129</v>
      </c>
      <c r="J25" s="18">
        <v>683.9629466048541</v>
      </c>
    </row>
  </sheetData>
  <mergeCells count="2">
    <mergeCell ref="C20:C25"/>
    <mergeCell ref="D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Sheet</vt:lpstr>
      <vt:lpstr>INCOME STATEMENT</vt:lpstr>
      <vt:lpstr>Quarters</vt:lpstr>
      <vt:lpstr>Balance Sheet</vt:lpstr>
      <vt:lpstr>Cash Flow Statement</vt:lpstr>
      <vt:lpstr>Assumptions</vt:lpstr>
      <vt:lpstr>DCF MODEL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Vikas Arjun Pragada</cp:lastModifiedBy>
  <cp:lastPrinted>2012-12-06T18:14:13Z</cp:lastPrinted>
  <dcterms:created xsi:type="dcterms:W3CDTF">2012-08-17T09:55:37Z</dcterms:created>
  <dcterms:modified xsi:type="dcterms:W3CDTF">2025-12-25T19:58:55Z</dcterms:modified>
</cp:coreProperties>
</file>